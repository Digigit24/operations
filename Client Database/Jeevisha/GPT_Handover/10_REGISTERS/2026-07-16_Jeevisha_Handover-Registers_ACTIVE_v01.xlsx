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d1df1afbbd4366" /></Relationships>
</file>

<file path=xl/workbook.xml><?xml version="1.0" encoding="utf-8"?>
<x:workbook xmlns:x="http://schemas.openxmlformats.org/spreadsheetml/2006/main">
  <x:sheets>
    <x:sheet xmlns:r="http://schemas.openxmlformats.org/officeDocument/2006/relationships" name="Dashboard" sheetId="1" r:id="R4bd92eef31884fa2"/>
    <x:sheet xmlns:r="http://schemas.openxmlformats.org/officeDocument/2006/relationships" name="Sources" sheetId="2" r:id="R3d35730531de4c84"/>
    <x:sheet xmlns:r="http://schemas.openxmlformats.org/officeDocument/2006/relationships" name="Assets" sheetId="3" r:id="R402e003c601e495e"/>
    <x:sheet xmlns:r="http://schemas.openxmlformats.org/officeDocument/2006/relationships" name="Content Ideas" sheetId="4" r:id="R245a5445a9864081"/>
    <x:sheet xmlns:r="http://schemas.openxmlformats.org/officeDocument/2006/relationships" name="Scripts" sheetId="5" r:id="R5fcd69fdb0284e06"/>
    <x:sheet xmlns:r="http://schemas.openxmlformats.org/officeDocument/2006/relationships" name="Captions Copy" sheetId="6" r:id="Rd141b1b66847460f"/>
    <x:sheet xmlns:r="http://schemas.openxmlformats.org/officeDocument/2006/relationships" name="GMB Posts" sheetId="7" r:id="R39cb9d7a48e5438f"/>
    <x:sheet xmlns:r="http://schemas.openxmlformats.org/officeDocument/2006/relationships" name="Campaigns" sheetId="8" r:id="R7f57537bcf574afd"/>
    <x:sheet xmlns:r="http://schemas.openxmlformats.org/officeDocument/2006/relationships" name="Client Details" sheetId="9" r:id="Ra8193740f4b84017"/>
    <x:sheet xmlns:r="http://schemas.openxmlformats.org/officeDocument/2006/relationships" name="Conflicts Risks" sheetId="10" r:id="R1ca6487ffdc640fd"/>
    <x:sheet xmlns:r="http://schemas.openxmlformats.org/officeDocument/2006/relationships" name="Tasks" sheetId="11" r:id="R099765a58eeb41b0"/>
    <x:sheet xmlns:r="http://schemas.openxmlformats.org/officeDocument/2006/relationships" name="Reports" sheetId="12" r:id="R25548e6678294759"/>
    <x:sheet xmlns:r="http://schemas.openxmlformats.org/officeDocument/2006/relationships" name="Completion Score" sheetId="13" r:id="R5e690d17443b41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b/>
      <x:sz val="16"/>
      <x:color rgb="FFFFFFFF"/>
      <x:name val="Carlito"/>
    </x:font>
    <x:font>
      <x:i/>
      <x:sz val="10"/>
      <x:color rgb="FF252A32"/>
      <x:name val="Carlito"/>
    </x:font>
    <x:font>
      <x:b/>
      <x:sz val="10"/>
      <x:color rgb="FFFFFFFF"/>
      <x:name val="Carlito"/>
    </x:font>
    <x:font>
      <x:sz val="9"/>
      <x:color rgb="FF252A32"/>
      <x:name val="Carlito"/>
    </x:font>
    <x:font>
      <x:b/>
      <x:sz val="18"/>
      <x:color rgb="FFFFFFFF"/>
      <x:name val="Carlito"/>
    </x:font>
    <x:font>
      <x:b/>
      <x:sz val="18"/>
      <x:color rgb="FF061B3D"/>
      <x:name val="Carlito"/>
    </x:font>
    <x:font>
      <x:b/>
      <x:sz val="18"/>
      <x:color rgb="FF991B1B"/>
      <x:name val="Carlito"/>
    </x:font>
    <x:font>
      <x:b/>
      <x:sz val="12"/>
      <x:color rgb="FFFFFFFF"/>
      <x:name val="Carlito"/>
    </x:font>
    <x:font>
      <x:b/>
      <x:sz val="11"/>
      <x:color rgb="FF061B3D"/>
      <x:name val="Carlito"/>
    </x:font>
    <x:font>
      <x:sz val="11"/>
      <x:color rgb="FF252A32"/>
      <x:name val="Carlito"/>
    </x:font>
    <x:font>
      <x:b/>
      <x:sz val="11"/>
      <x:color rgb="FF991B1B"/>
      <x:name val="Carlito"/>
    </x:font>
  </x:fonts>
  <x:fills count="9">
    <x:fill>
      <x:patternFill patternType="none"/>
    </x:fill>
    <x:fill>
      <x:patternFill patternType="gray125"/>
    </x:fill>
    <x:fill>
      <x:patternFill patternType="solid">
        <x:fgColor rgb="FF061B3D"/>
      </x:patternFill>
    </x:fill>
    <x:fill>
      <x:patternFill patternType="solid">
        <x:fgColor rgb="FFF8F7F2"/>
      </x:patternFill>
    </x:fill>
    <x:fill>
      <x:patternFill patternType="solid">
        <x:fgColor rgb="FF073B8E"/>
      </x:patternFill>
    </x:fill>
    <x:fill>
      <x:patternFill patternType="solid">
        <x:fgColor rgb="FFEAF3FF"/>
      </x:patternFill>
    </x:fill>
    <x:fill>
      <x:patternFill patternType="solid">
        <x:fgColor rgb="FFFEE2E2"/>
      </x:patternFill>
    </x:fill>
    <x:fill>
      <x:patternFill patternType="solid">
        <x:fgColor rgb="FF45B42A"/>
      </x:patternFill>
    </x:fill>
    <x:fill>
      <x:patternFill patternType="solid">
        <x:fgColor rgb="FFF05A5A"/>
      </x:patternFill>
    </x:fill>
  </x:fills>
  <x:borders count="2">
    <x:border/>
    <x:border/>
  </x:borders>
  <x:cellStyleXfs count="1">
    <x:xf numFmtId="0" fontId="0" fillId="0" borderId="0"/>
  </x:cellStyleXfs>
  <x:cellXfs count="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1" xfId="0" applyNumberFormat="1" applyFont="1" applyFill="1" applyBorder="1" applyAlignment="1">
      <x:alignment horizontal="center" vertical="center"/>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5" borderId="0" xfId="0" applyNumberFormat="1" applyFont="1" applyFill="1" applyBorder="1"/>
    <x:xf numFmtId="0" fontId="6" fillId="5" borderId="0" xfId="0" applyNumberFormat="1" applyFont="1" applyFill="1" applyBorder="1"/>
    <x:xf numFmtId="200" fontId="6" fillId="5" borderId="0" xfId="0" applyNumberFormat="1" applyFont="1" applyFill="1" applyBorder="1"/>
    <x:xf numFmtId="200" fontId="6" fillId="5" borderId="0" xfId="0" applyNumberFormat="1" applyFont="1" applyFill="1" applyBorder="1" applyAlignment="1">
      <x:alignment horizontal="center"/>
    </x:xf>
    <x:xf numFmtId="0" fontId="0" fillId="5" borderId="1" xfId="0" applyNumberFormat="1" applyFont="1" applyFill="1" applyBorder="1"/>
    <x:xf numFmtId="0" fontId="6" fillId="5" borderId="1" xfId="0" applyNumberFormat="1" applyFont="1" applyFill="1" applyBorder="1"/>
    <x:xf numFmtId="200" fontId="6" fillId="5" borderId="1" xfId="0" applyNumberFormat="1" applyFont="1" applyFill="1" applyBorder="1"/>
    <x:xf numFmtId="200" fontId="6" fillId="5" borderId="1" xfId="0" applyNumberFormat="1" applyFont="1" applyFill="1" applyBorder="1" applyAlignment="1">
      <x:alignment horizontal="center"/>
    </x:xf>
    <x:xf numFmtId="0" fontId="0" fillId="6" borderId="0" xfId="0" applyNumberFormat="1" applyFont="1" applyFill="1" applyBorder="1"/>
    <x:xf numFmtId="0" fontId="7" fillId="6" borderId="0" xfId="0" applyNumberFormat="1" applyFont="1" applyFill="1" applyBorder="1"/>
    <x:xf numFmtId="200" fontId="7" fillId="6" borderId="0" xfId="0" applyNumberFormat="1" applyFont="1" applyFill="1" applyBorder="1"/>
    <x:xf numFmtId="200" fontId="7" fillId="6" borderId="0" xfId="0" applyNumberFormat="1" applyFont="1" applyFill="1" applyBorder="1" applyAlignment="1">
      <x:alignment horizontal="center"/>
    </x:xf>
    <x:xf numFmtId="0" fontId="0" fillId="6" borderId="1" xfId="0" applyNumberFormat="1" applyFont="1" applyFill="1" applyBorder="1"/>
    <x:xf numFmtId="0" fontId="7" fillId="6" borderId="1" xfId="0" applyNumberFormat="1" applyFont="1" applyFill="1" applyBorder="1"/>
    <x:xf numFmtId="200" fontId="7" fillId="6" borderId="1" xfId="0" applyNumberFormat="1" applyFont="1" applyFill="1" applyBorder="1"/>
    <x:xf numFmtId="200" fontId="7" fillId="6" borderId="1" xfId="0" applyNumberFormat="1" applyFont="1" applyFill="1" applyBorder="1" applyAlignment="1">
      <x:alignment horizont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horizontal="left"/>
    </x:xf>
    <x:xf numFmtId="0" fontId="0" fillId="7" borderId="1" xfId="0" applyNumberFormat="1" applyFont="1" applyFill="1" applyBorder="1"/>
    <x:xf numFmtId="0" fontId="8" fillId="7" borderId="1" xfId="0" applyNumberFormat="1" applyFont="1" applyFill="1" applyBorder="1"/>
    <x:xf numFmtId="0" fontId="8" fillId="7" borderId="1" xfId="0" applyNumberFormat="1" applyFont="1" applyFill="1" applyBorder="1" applyAlignment="1">
      <x:alignment horizontal="left"/>
    </x:xf>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vertical="top" wrapText="1"/>
    </x:xf>
    <x:xf numFmtId="0" fontId="9" fillId="5" borderId="1" xfId="0" applyNumberFormat="1" applyFont="1" applyFill="1" applyBorder="1"/>
    <x:xf numFmtId="0" fontId="9" fillId="5" borderId="1" xfId="0" applyNumberFormat="1" applyFont="1" applyFill="1" applyBorder="1" applyAlignment="1">
      <x:alignment wrapText="1"/>
    </x:xf>
    <x:xf numFmtId="0" fontId="9" fillId="5" borderId="1" xfId="0" applyNumberFormat="1" applyFont="1" applyFill="1" applyBorder="1" applyAlignment="1">
      <x:alignment vertical="top"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0" borderId="1" xfId="0" applyNumberFormat="1" applyFont="1" applyFill="1" applyBorder="1"/>
    <x:xf numFmtId="0" fontId="10" fillId="0" borderId="1" xfId="0" applyNumberFormat="1" applyFont="1" applyFill="1" applyBorder="1" applyAlignment="1">
      <x:alignment wrapText="1"/>
    </x:xf>
    <x:xf numFmtId="0" fontId="10" fillId="0" borderId="1" xfId="0" applyNumberFormat="1" applyFont="1" applyFill="1" applyBorder="1" applyAlignment="1">
      <x:alignment vertical="top" wrapText="1"/>
    </x:xf>
    <x:xf numFmtId="0" fontId="8" fillId="8" borderId="0" xfId="0" applyNumberFormat="1" applyFont="1" applyFill="1" applyBorder="1" applyAlignment="1">
      <x:alignment horizontal="left"/>
    </x:xf>
    <x:xf numFmtId="0" fontId="8" fillId="8" borderId="1" xfId="0" applyNumberFormat="1" applyFont="1" applyFill="1" applyBorder="1" applyAlignment="1">
      <x:alignment horizontal="left"/>
    </x:xf>
    <x:xf numFmtId="0" fontId="11" fillId="6" borderId="0" xfId="0" applyNumberFormat="1" applyFont="1" applyFill="1" applyBorder="1"/>
    <x:xf numFmtId="0" fontId="11" fillId="6" borderId="0" xfId="0" applyNumberFormat="1" applyFont="1" applyFill="1" applyBorder="1" applyAlignment="1">
      <x:alignment horizontal="center"/>
    </x:xf>
    <x:xf numFmtId="0" fontId="11" fillId="6" borderId="1" xfId="0" applyNumberFormat="1" applyFont="1" applyFill="1" applyBorder="1"/>
    <x:xf numFmtId="0" fontId="11" fillId="6" borderId="1" xfId="0" applyNumberFormat="1" applyFont="1" applyFill="1" applyBorder="1" applyAlignment="1">
      <x:alignment horizontal="center"/>
    </x:xf>
  </x:cellXfs>
  <x:cellStyles count="1">
    <x:cellStyle name="Normal" xfId="0"/>
  </x:cellStyles>
  <x:dxfs count="17">
    <x:dxf>
      <x:fill>
        <x:patternFill patternType="solid">
          <x:bgColor rgb="FFF7FAFC"/>
        </x:patternFill>
      </x:fill>
    </x:dxf>
    <x:dxf>
      <x:fill>
        <x:patternFill patternType="solid">
          <x:bgColor rgb="FFF7FAFC"/>
        </x:patternFill>
      </x:fill>
    </x:dxf>
    <x:dxf>
      <x:fill>
        <x:patternFill patternType="solid">
          <x:bgColor rgb="FFF7FAFC"/>
        </x:patternFill>
      </x:fill>
    </x:dxf>
    <x:dxf>
      <x:font>
        <x:color rgb="FF7A4B00"/>
      </x:font>
      <x:fill>
        <x:patternFill patternType="solid">
          <x:bgColor rgb="FFFFF3CD"/>
        </x:patternFill>
      </x:fill>
    </x:dxf>
    <x:dxf>
      <x:font>
        <x:color rgb="FF4B5563"/>
      </x:font>
      <x:fill>
        <x:patternFill patternType="solid">
          <x:bgColor rgb="FFE5E7EB"/>
        </x:patternFill>
      </x:fill>
    </x:dxf>
    <x:dxf>
      <x:fill>
        <x:patternFill patternType="solid">
          <x:bgColor rgb="FFF7FAFC"/>
        </x:patternFill>
      </x:fill>
    </x:dxf>
    <x:dxf>
      <x:fill>
        <x:patternFill patternType="solid">
          <x:bgColor rgb="FFF7FAFC"/>
        </x:patternFill>
      </x:fill>
    </x:dxf>
    <x:dxf>
      <x:fill>
        <x:patternFill patternType="solid">
          <x:bgColor rgb="FFF7FAFC"/>
        </x:patternFill>
      </x:fill>
    </x:dxf>
    <x:dxf>
      <x:fill>
        <x:patternFill patternType="solid">
          <x:bgColor rgb="FFF7FAFC"/>
        </x:patternFill>
      </x:fill>
    </x:dxf>
    <x:dxf>
      <x:fill>
        <x:patternFill patternType="solid">
          <x:bgColor rgb="FFF7FAFC"/>
        </x:patternFill>
      </x:fill>
    </x:dxf>
    <x:dxf>
      <x:fill>
        <x:patternFill patternType="solid">
          <x:bgColor rgb="FFF7FAFC"/>
        </x:patternFill>
      </x:fill>
    </x:dxf>
    <x:dxf>
      <x:font>
        <x:b/>
        <x:color rgb="FF991B1B"/>
      </x:font>
      <x:fill>
        <x:patternFill patternType="solid">
          <x:bgColor rgb="FFFEE2E2"/>
        </x:patternFill>
      </x:fill>
    </x:dxf>
    <x:dxf>
      <x:fill>
        <x:patternFill patternType="solid">
          <x:bgColor rgb="FFF7FAFC"/>
        </x:patternFill>
      </x:fill>
    </x:dxf>
    <x:dxf>
      <x:font>
        <x:b/>
        <x:color rgb="FF991B1B"/>
      </x:font>
      <x:fill>
        <x:patternFill patternType="solid">
          <x:bgColor rgb="FFFEE2E2"/>
        </x:patternFill>
      </x:fill>
    </x:dxf>
    <x:dxf>
      <x:font>
        <x:color rgb="FF7A4B00"/>
      </x:font>
      <x:fill>
        <x:patternFill patternType="solid">
          <x:bgColor rgb="FFFFF3CD"/>
        </x:patternFill>
      </x:fill>
    </x:dxf>
    <x:dxf>
      <x:fill>
        <x:patternFill patternType="solid">
          <x:bgColor rgb="FFF7FAFC"/>
        </x:patternFill>
      </x:fill>
    </x:dxf>
    <x:dxf>
      <x:fill>
        <x:patternFill patternType="solid">
          <x:bgColor rgb="FFF7FAF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df7d757b3e452a" /><Relationship Type="http://schemas.openxmlformats.org/officeDocument/2006/relationships/theme" Target="/xl/theme/theme1.xml" Id="R9b251daae4014c30" /><Relationship Type="http://schemas.openxmlformats.org/officeDocument/2006/relationships/sharedStrings" Target="/xl/sharedStrings.xml" Id="Rb2114a5dcf724adb" /><Relationship Type="http://schemas.openxmlformats.org/officeDocument/2006/relationships/worksheet" Target="/xl/worksheets/sheet1.xml" Id="R4bd92eef31884fa2" /><Relationship Type="http://schemas.openxmlformats.org/officeDocument/2006/relationships/worksheet" Target="/xl/worksheets/sheet2.xml" Id="R3d35730531de4c84" /><Relationship Type="http://schemas.openxmlformats.org/officeDocument/2006/relationships/worksheet" Target="/xl/worksheets/sheet3.xml" Id="R402e003c601e495e" /><Relationship Type="http://schemas.openxmlformats.org/officeDocument/2006/relationships/worksheet" Target="/xl/worksheets/sheet4.xml" Id="R245a5445a9864081" /><Relationship Type="http://schemas.openxmlformats.org/officeDocument/2006/relationships/worksheet" Target="/xl/worksheets/sheet5.xml" Id="R5fcd69fdb0284e06" /><Relationship Type="http://schemas.openxmlformats.org/officeDocument/2006/relationships/worksheet" Target="/xl/worksheets/sheet6.xml" Id="Rd141b1b66847460f" /><Relationship Type="http://schemas.openxmlformats.org/officeDocument/2006/relationships/worksheet" Target="/xl/worksheets/sheet7.xml" Id="R39cb9d7a48e5438f" /><Relationship Type="http://schemas.openxmlformats.org/officeDocument/2006/relationships/worksheet" Target="/xl/worksheets/sheet8.xml" Id="R7f57537bcf574afd" /><Relationship Type="http://schemas.openxmlformats.org/officeDocument/2006/relationships/worksheet" Target="/xl/worksheets/sheet9.xml" Id="Ra8193740f4b84017" /><Relationship Type="http://schemas.openxmlformats.org/officeDocument/2006/relationships/worksheet" Target="/xl/worksheets/sheet10.xml" Id="R1ca6487ffdc640fd" /><Relationship Type="http://schemas.openxmlformats.org/officeDocument/2006/relationships/worksheet" Target="/xl/worksheets/sheet11.xml" Id="R099765a58eeb41b0" /><Relationship Type="http://schemas.openxmlformats.org/officeDocument/2006/relationships/worksheet" Target="/xl/worksheets/sheet12.xml" Id="R25548e6678294759" /><Relationship Type="http://schemas.openxmlformats.org/officeDocument/2006/relationships/worksheet" Target="/xl/worksheets/sheet13.xml" Id="R5e690d17443b411c" /></Relationships>
</file>

<file path=xl/drawings/_rels/drawing1.xml.rels>&#65279;<?xml version="1.0" encoding="utf-8"?><Relationships xmlns="http://schemas.openxmlformats.org/package/2006/relationships"><Relationship Type="http://schemas.openxmlformats.org/officeDocument/2006/relationships/chart" Target="/xl/drawings/charts/chart1.xml" Id="Rd136714858c542b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Handover Completion by Area</a:t>
            </a:r>
          </a:p>
        </c:rich>
      </c:tx>
      <c:overlay val="0"/>
    </c:title>
    <c:autoTitleDeleted val="0"/>
    <c:plotArea>
      <c:layout/>
      <c:barChart>
        <c:barDir val="col"/>
        <c:varyColors val="0"/>
        <c:ser>
          <c:idx val="0"/>
          <c:order val="0"/>
          <c:tx>
            <c:v>Score</c:v>
          </c:tx>
          <c:cat>
            <c:strRef>
              <c:f>'Completion Score'!$A$5:$A$14</c:f>
              <c:strCache>
                <c:ptCount val="0"/>
              </c:strCache>
            </c:strRef>
          </c:cat>
          <c:val>
            <c:numRef>
              <c:f>'Completion Score'!$B$5:$B$14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20</xdr:row>
      <xdr:rowOff>0</xdr:rowOff>
    </xdr:from>
    <xdr:to>
      <xdr:col>10</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36714858c542bf"/>
        </a:graphicData>
      </a:graphic>
    </xdr:graphicFrame>
    <xdr:clientData/>
  </xdr:twoCellAnchor>
</xdr:wsDr>
</file>

<file path=xl/tables/table1.xml><?xml version="1.0" encoding="utf-8"?>
<x:table xmlns:x="http://schemas.openxmlformats.org/spreadsheetml/2006/main" id="1" name="SourcesTable" displayName="SourcesTable" ref="A4:G30" headerRowCount="1">
  <x:tableColumns count="7">
    <x:tableColumn id="1" name="Source"/>
    <x:tableColumn id="2" name="File"/>
    <x:tableColumn id="3" name="Category"/>
    <x:tableColumn id="4" name="Availability"/>
    <x:tableColumn id="5" name="Status"/>
    <x:tableColumn id="6" name="Summary"/>
    <x:tableColumn id="7" name="Reference_or_Path"/>
  </x:tableColumns>
  <x:tableStyleInfo name="TableStyleMedium2" showRowStripes="1"/>
</x:table>
</file>

<file path=xl/tables/table2.xml><?xml version="1.0" encoding="utf-8"?>
<x:table xmlns:x="http://schemas.openxmlformats.org/spreadsheetml/2006/main" id="2" name="AssetsTable" displayName="AssetsTable" ref="A4:J24" headerRowCount="1">
  <x:tableColumns count="10">
    <x:tableColumn id="1" name="Asset_ID"/>
    <x:tableColumn id="2" name="Asset_Name"/>
    <x:tableColumn id="3" name="Asset_Type"/>
    <x:tableColumn id="4" name="Format"/>
    <x:tableColumn id="5" name="Location"/>
    <x:tableColumn id="6" name="Status"/>
    <x:tableColumn id="7" name="Approval_Evidence"/>
    <x:tableColumn id="8" name="Production_Ready"/>
    <x:tableColumn id="9" name="Source"/>
    <x:tableColumn id="10" name="Notes"/>
  </x:tableColumns>
  <x:tableStyleInfo name="TableStyleMedium2" showRowStripes="1"/>
</x:table>
</file>

<file path=xl/tables/table3.xml><?xml version="1.0" encoding="utf-8"?>
<x:table xmlns:x="http://schemas.openxmlformats.org/spreadsheetml/2006/main" id="3" name="ContentIdeasTable" displayName="ContentIdeasTable" ref="A4:J160" headerRowCount="1">
  <x:tableColumns count="10">
    <x:tableColumn id="1" name="Idea_ID"/>
    <x:tableColumn id="2" name="Category"/>
    <x:tableColumn id="3" name="Title"/>
    <x:tableColumn id="4" name="Format"/>
    <x:tableColumn id="5" name="Pillar"/>
    <x:tableColumn id="6" name="Audience"/>
    <x:tableColumn id="7" name="Funnel"/>
    <x:tableColumn id="8" name="Status"/>
    <x:tableColumn id="9" name="Source"/>
    <x:tableColumn id="10" name="Risk_or_Notes"/>
  </x:tableColumns>
  <x:tableStyleInfo name="TableStyleMedium2" showRowStripes="1"/>
</x:table>
</file>

<file path=xl/tables/table4.xml><?xml version="1.0" encoding="utf-8"?>
<x:table xmlns:x="http://schemas.openxmlformats.org/spreadsheetml/2006/main" id="4" name="ScriptsTable" displayName="ScriptsTable" ref="A4:F29" headerRowCount="1">
  <x:tableColumns count="6">
    <x:tableColumn id="1" name="Record_ID"/>
    <x:tableColumn id="2" name="Type"/>
    <x:tableColumn id="3" name="Text_or_Title"/>
    <x:tableColumn id="4" name="Use"/>
    <x:tableColumn id="5" name="Status"/>
    <x:tableColumn id="6" name="Source"/>
  </x:tableColumns>
  <x:tableStyleInfo name="TableStyleMedium2" showRowStripes="1"/>
</x:table>
</file>

<file path=xl/tables/table5.xml><?xml version="1.0" encoding="utf-8"?>
<x:table xmlns:x="http://schemas.openxmlformats.org/spreadsheetml/2006/main" id="5" name="CopyTable" displayName="CopyTable" ref="A4:H35" headerRowCount="1">
  <x:tableColumns count="8">
    <x:tableColumn id="1" name="Copy_ID"/>
    <x:tableColumn id="2" name="Channel"/>
    <x:tableColumn id="3" name="Copy_Type"/>
    <x:tableColumn id="4" name="Title"/>
    <x:tableColumn id="5" name="Copy"/>
    <x:tableColumn id="6" name="Status"/>
    <x:tableColumn id="7" name="Risk_or_Note"/>
    <x:tableColumn id="8" name="Source"/>
  </x:tableColumns>
  <x:tableStyleInfo name="TableStyleMedium2" showRowStripes="1"/>
</x:table>
</file>

<file path=xl/tables/table6.xml><?xml version="1.0" encoding="utf-8"?>
<x:table xmlns:x="http://schemas.openxmlformats.org/spreadsheetml/2006/main" id="6" name="GMBPostsTable" displayName="GMBPostsTable" ref="A4:L12" headerRowCount="1">
  <x:tableColumns count="12">
    <x:tableColumn id="1" name="ID"/>
    <x:tableColumn id="2" name="Schedule"/>
    <x:tableColumn id="3" name="Type"/>
    <x:tableColumn id="4" name="Hook"/>
    <x:tableColumn id="5" name="Body"/>
    <x:tableColumn id="6" name="CTA"/>
    <x:tableColumn id="7" name="Image_Direction"/>
    <x:tableColumn id="8" name="Compliance"/>
    <x:tableColumn id="9" name="Status"/>
    <x:tableColumn id="10" name="Approval_Evidence"/>
    <x:tableColumn id="11" name="Published_Status"/>
    <x:tableColumn id="12" name="Source"/>
  </x:tableColumns>
  <x:tableStyleInfo name="TableStyleMedium2" showRowStripes="1"/>
</x:table>
</file>

<file path=xl/tables/table7.xml><?xml version="1.0" encoding="utf-8"?>
<x:table xmlns:x="http://schemas.openxmlformats.org/spreadsheetml/2006/main" id="7" name="CampaignsTable" displayName="CampaignsTable" ref="A4:P15" headerRowCount="1">
  <x:tableColumns count="16">
    <x:tableColumn id="1" name="Campaign_ID"/>
    <x:tableColumn id="2" name="Campaign_Name"/>
    <x:tableColumn id="3" name="Objective"/>
    <x:tableColumn id="4" name="Offer"/>
    <x:tableColumn id="5" name="Target_Audience"/>
    <x:tableColumn id="6" name="Location"/>
    <x:tableColumn id="7" name="Funnel"/>
    <x:tableColumn id="8" name="Pain_Points"/>
    <x:tableColumn id="9" name="Value_Proposition"/>
    <x:tableColumn id="10" name="Hooks"/>
    <x:tableColumn id="11" name="Creative_Angles"/>
    <x:tableColumn id="12" name="CTA"/>
    <x:tableColumn id="13" name="Approval_Status"/>
    <x:tableColumn id="14" name="Published_Status"/>
    <x:tableColumn id="15" name="Problems"/>
    <x:tableColumn id="16" name="Next_Action"/>
  </x:tableColumns>
  <x:tableStyleInfo name="TableStyleMedium2" showRowStripes="1"/>
</x:table>
</file>

<file path=xl/tables/table8.xml><?xml version="1.0" encoding="utf-8"?>
<x:table xmlns:x="http://schemas.openxmlformats.org/spreadsheetml/2006/main" id="8" name="ClientDetailsTable" displayName="ClientDetailsTable" ref="A4:E34" headerRowCount="1">
  <x:tableColumns count="5">
    <x:tableColumn id="1" name="Field"/>
    <x:tableColumn id="2" name="Value"/>
    <x:tableColumn id="3" name="Claim_Status"/>
    <x:tableColumn id="4" name="Source"/>
    <x:tableColumn id="5" name="Notes"/>
  </x:tableColumns>
  <x:tableStyleInfo name="TableStyleMedium2" showRowStripes="1"/>
</x:table>
</file>

<file path=xl/tables/table9.xml><?xml version="1.0" encoding="utf-8"?>
<x:table xmlns:x="http://schemas.openxmlformats.org/spreadsheetml/2006/main" id="9" name="ConflictsTable" displayName="ConflictsTable" ref="A4:J24" headerRowCount="1">
  <x:tableColumns count="10">
    <x:tableColumn id="1" name="Conflict_ID"/>
    <x:tableColumn id="2" name="Subject"/>
    <x:tableColumn id="3" name="Value_A"/>
    <x:tableColumn id="4" name="Value_B"/>
    <x:tableColumn id="5" name="Sources"/>
    <x:tableColumn id="6" name="Risk"/>
    <x:tableColumn id="7" name="Recommended_Decision"/>
    <x:tableColumn id="8" name="Owner"/>
    <x:tableColumn id="9" name="Priority"/>
    <x:tableColumn id="10" name="Status"/>
  </x:tableColumns>
  <x:tableStyleInfo name="TableStyleMedium2" showRowStripes="1"/>
</x:table>
</file>

<file path=xl/tables/table10.xml><?xml version="1.0" encoding="utf-8"?>
<x:table xmlns:x="http://schemas.openxmlformats.org/spreadsheetml/2006/main" id="10" name="TasksTable" displayName="TasksTable" ref="A4:H28" headerRowCount="1">
  <x:tableColumns count="8">
    <x:tableColumn id="1" name="Task_ID"/>
    <x:tableColumn id="2" name="Task"/>
    <x:tableColumn id="3" name="Category"/>
    <x:tableColumn id="4" name="Priority"/>
    <x:tableColumn id="5" name="Status"/>
    <x:tableColumn id="6" name="Owner"/>
    <x:tableColumn id="7" name="Source"/>
    <x:tableColumn id="8" name="Next_Action"/>
  </x:tableColumns>
  <x:tableStyleInfo name="TableStyleMedium2" showRowStripes="1"/>
</x:table>
</file>

<file path=xl/tables/table11.xml><?xml version="1.0" encoding="utf-8"?>
<x:table xmlns:x="http://schemas.openxmlformats.org/spreadsheetml/2006/main" id="11" name="ReportsTable" displayName="ReportsTable" ref="A4:I19" headerRowCount="1">
  <x:tableColumns count="9">
    <x:tableColumn id="1" name="Report_ID"/>
    <x:tableColumn id="2" name="Report_Name"/>
    <x:tableColumn id="3" name="Report_Type"/>
    <x:tableColumn id="4" name="Period"/>
    <x:tableColumn id="5" name="Status"/>
    <x:tableColumn id="6" name="Actual_or_Target"/>
    <x:tableColumn id="7" name="Metrics"/>
    <x:tableColumn id="8" name="Location"/>
    <x:tableColumn id="9" name="Notes"/>
  </x:tableColumns>
  <x:tableStyleInfo name="TableStyleMedium2" showRowStripes="1"/>
</x:table>
</file>

<file path=xl/tables/table12.xml><?xml version="1.0" encoding="utf-8"?>
<x:table xmlns:x="http://schemas.openxmlformats.org/spreadsheetml/2006/main" id="12" name="CompletionTable" displayName="CompletionTable" ref="A4:C14" headerRowCount="1">
  <x:tableColumns count="3">
    <x:tableColumn id="1" name="Area"/>
    <x:tableColumn id="2" name="Score"/>
    <x:tableColumn id="3" name="Miss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d84b26eefb84a81" /></Relationships>
</file>

<file path=xl/worksheets/_rels/sheet2.xml.rels>&#65279;<?xml version="1.0" encoding="utf-8"?><Relationships xmlns="http://schemas.openxmlformats.org/package/2006/relationships"><Relationship Type="http://schemas.openxmlformats.org/officeDocument/2006/relationships/table" Target="/xl/tables/table1.xml" Id="Rcc511e4d48574a95" /></Relationships>
</file>

<file path=xl/worksheets/_rels/sheet3.xml.rels>&#65279;<?xml version="1.0" encoding="utf-8"?><Relationships xmlns="http://schemas.openxmlformats.org/package/2006/relationships"><Relationship Type="http://schemas.openxmlformats.org/officeDocument/2006/relationships/table" Target="/xl/tables/table2.xml" Id="Ra4a01145af624b86" /></Relationships>
</file>

<file path=xl/worksheets/_rels/sheet4.xml.rels>&#65279;<?xml version="1.0" encoding="utf-8"?><Relationships xmlns="http://schemas.openxmlformats.org/package/2006/relationships"><Relationship Type="http://schemas.openxmlformats.org/officeDocument/2006/relationships/table" Target="/xl/tables/table3.xml" Id="R28b17d4c13b74581" /></Relationships>
</file>

<file path=xl/worksheets/_rels/sheet5.xml.rels>&#65279;<?xml version="1.0" encoding="utf-8"?><Relationships xmlns="http://schemas.openxmlformats.org/package/2006/relationships"><Relationship Type="http://schemas.openxmlformats.org/officeDocument/2006/relationships/table" Target="/xl/tables/table4.xml" Id="R025036c9f90f415f" /></Relationships>
</file>

<file path=xl/worksheets/_rels/sheet6.xml.rels>&#65279;<?xml version="1.0" encoding="utf-8"?><Relationships xmlns="http://schemas.openxmlformats.org/package/2006/relationships"><Relationship Type="http://schemas.openxmlformats.org/officeDocument/2006/relationships/table" Target="/xl/tables/table5.xml" Id="Re4d9cc80c72847b6" /></Relationships>
</file>

<file path=xl/worksheets/_rels/sheet7.xml.rels>&#65279;<?xml version="1.0" encoding="utf-8"?><Relationships xmlns="http://schemas.openxmlformats.org/package/2006/relationships"><Relationship Type="http://schemas.openxmlformats.org/officeDocument/2006/relationships/table" Target="/xl/tables/table6.xml" Id="R1fccd2a693bc4b8a" /></Relationships>
</file>

<file path=xl/worksheets/_rels/sheet8.xml.rels>&#65279;<?xml version="1.0" encoding="utf-8"?><Relationships xmlns="http://schemas.openxmlformats.org/package/2006/relationships"><Relationship Type="http://schemas.openxmlformats.org/officeDocument/2006/relationships/table" Target="/xl/tables/table7.xml" Id="R7591b859d34f4213" /></Relationships>
</file>

<file path=xl/worksheets/_rels/sheet9.xml.rels>&#65279;<?xml version="1.0" encoding="utf-8"?><Relationships xmlns="http://schemas.openxmlformats.org/package/2006/relationships"><Relationship Type="http://schemas.openxmlformats.org/officeDocument/2006/relationships/table" Target="/xl/tables/table8.xml" Id="R6edaed0a9b524f7d" /></Relationships>
</file>

<file path=xl/worksheets/_rels/sheet10.xml.rels>&#65279;<?xml version="1.0" encoding="utf-8"?><Relationships xmlns="http://schemas.openxmlformats.org/package/2006/relationships"><Relationship Type="http://schemas.openxmlformats.org/officeDocument/2006/relationships/table" Target="/xl/tables/table9.xml" Id="R6dac715d40cd4ab8" /></Relationships>
</file>

<file path=xl/worksheets/_rels/sheet11.xml.rels>&#65279;<?xml version="1.0" encoding="utf-8"?><Relationships xmlns="http://schemas.openxmlformats.org/package/2006/relationships"><Relationship Type="http://schemas.openxmlformats.org/officeDocument/2006/relationships/table" Target="/xl/tables/table10.xml" Id="R3ed1001d2dc64ec5" /></Relationships>
</file>

<file path=xl/worksheets/_rels/sheet12.xml.rels>&#65279;<?xml version="1.0" encoding="utf-8"?><Relationships xmlns="http://schemas.openxmlformats.org/package/2006/relationships"><Relationship Type="http://schemas.openxmlformats.org/officeDocument/2006/relationships/table" Target="/xl/tables/table11.xml" Id="R5daecf2696ce4a45" /></Relationships>
</file>

<file path=xl/worksheets/_rels/sheet13.xml.rels>&#65279;<?xml version="1.0" encoding="utf-8"?><Relationships xmlns="http://schemas.openxmlformats.org/package/2006/relationships"><Relationship Type="http://schemas.openxmlformats.org/officeDocument/2006/relationships/table" Target="/xl/tables/table12.xml" Id="Re158b5a4617846a5" /></Relationships>
</file>

<file path=xl/worksheets/sheet1.xml><?xml version="1.0" encoding="utf-8"?>
<x:worksheet xmlns:x="http://schemas.openxmlformats.org/spreadsheetml/2006/main">
  <x:sheetFormatPr defaultRowHeight="15"/>
  <x:cols>
    <x:col min="1" max="1" width="18" hidden="0" customWidth="1"/>
    <x:col min="2" max="2" width="23" hidden="0" customWidth="1"/>
    <x:col min="3" max="3" width="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21.600000381469727" hidden="0" customHeight="1">
      <x:c r="A1" s="34" t="str">
        <x:v>JEEVISHA CLIENT HANDOVER DASHBOARD</x:v>
      </x:c>
      <x:c r="B1" s="34"/>
      <x:c r="C1" s="34"/>
      <x:c r="D1" s="34"/>
      <x:c r="E1" s="34"/>
      <x:c r="F1" s="34"/>
      <x:c r="G1" s="34"/>
      <x:c r="H1" s="34"/>
      <x:c r="I1" s="34"/>
      <x:c r="J1" s="34"/>
    </x:row>
    <x:row r="2" ht="15" hidden="0" customHeight="1">
      <x:c r="A2" s="38" t="str">
        <x:v>Evidence-based extraction · 2026-07-16 · no item is approved without approval evidence</x:v>
      </x:c>
      <x:c r="B2" s="38"/>
      <x:c r="C2" s="38"/>
      <x:c r="D2" s="38"/>
      <x:c r="E2" s="38"/>
      <x:c r="F2" s="38"/>
      <x:c r="G2" s="38"/>
      <x:c r="H2" s="38"/>
      <x:c r="I2" s="38"/>
      <x:c r="J2" s="38"/>
    </x:row>
    <x:row r="3"/>
    <x:row r="4" ht="21.600000381469727" hidden="0" customHeight="1">
      <x:c r="A4" s="40" t="str">
        <x:v>Sources indexed</x:v>
      </x:c>
      <x:c r="B4" s="45" t="n">
        <x:f>COUNTA(Sources!A5:A1000)</x:f>
        <x:v>26</x:v>
      </x:c>
      <x:c r="D4" s="40" t="str">
        <x:v>Content ideas</x:v>
      </x:c>
      <x:c r="E4" s="45" t="n">
        <x:f>COUNTA('Content Ideas'!A5:A1000)</x:f>
        <x:v>156</x:v>
      </x:c>
      <x:c r="G4" s="40" t="str">
        <x:v>Usable ideas</x:v>
      </x:c>
      <x:c r="H4" s="45" t="n">
        <x:f>COUNTA('Content Ideas'!A5:A1000)-COUNTIF('Content Ideas'!H5:H1000,"DUPLICATE")-COUNTIF('Content Ideas'!H5:H1000,"REJECTED")</x:f>
        <x:v>151</x:v>
      </x:c>
      <x:c r="I4" s="40" t="str">
        <x:v>P0 risks</x:v>
      </x:c>
      <x:c r="J4" s="53" t="n">
        <x:f>COUNTIF('Conflicts Risks'!I5:I100,"P0")</x:f>
        <x:v>17</x:v>
      </x:c>
    </x:row>
    <x:row r="5"/>
    <x:row r="6"/>
    <x:row r="7"/>
    <x:row r="8" ht="21.600000381469727" hidden="0" customHeight="1">
      <x:c r="A8" s="40" t="str">
        <x:v>Complete scripts</x:v>
      </x:c>
      <x:c r="B8" s="45" t="n">
        <x:f>0</x:f>
        <x:v>0</x:v>
      </x:c>
      <x:c r="D8" s="40" t="str">
        <x:v>Campaigns</x:v>
      </x:c>
      <x:c r="E8" s="45" t="n">
        <x:f>COUNTA(Campaigns!A5:A100)</x:f>
        <x:v>11</x:v>
      </x:c>
      <x:c r="G8" s="40" t="str">
        <x:v>Open / blocked tasks</x:v>
      </x:c>
      <x:c r="H8" s="45" t="n">
        <x:f>COUNTIF(Tasks!E5:E100,"OPEN")+COUNTIF(Tasks!E5:E100,"BLOCKED")</x:f>
        <x:v>24</x:v>
      </x:c>
      <x:c r="I8" s="40" t="str">
        <x:v>Overall score</x:v>
      </x:c>
      <x:c r="J8" s="45" t="n">
        <x:f>AVERAGE('Completion Score'!B5:B14)</x:f>
        <x:v>51</x:v>
      </x:c>
    </x:row>
    <x:row r="9"/>
    <x:row r="10"/>
    <x:row r="11"/>
    <x:row r="12" ht="15" hidden="0" customHeight="1">
      <x:c r="A12" s="60" t="str">
        <x:v>EXECUTIVE FINDINGS</x:v>
      </x:c>
      <x:c r="B12" s="60"/>
      <x:c r="C12" s="60"/>
      <x:c r="D12" s="76" t="str">
        <x:v>P0 NEXT ACTIONS</x:v>
      </x:c>
      <x:c r="E12" s="76"/>
      <x:c r="F12" s="76"/>
      <x:c r="G12" s="76"/>
      <x:c r="H12" s="76"/>
      <x:c r="I12" s="76"/>
      <x:c r="J12" s="76"/>
    </x:row>
    <x:row r="13" ht="39.599998474121094" hidden="0" customHeight="1">
      <x:c r="A13" s="66" t="str">
        <x:v>Client identified</x:v>
      </x:c>
      <x:c r="B13" s="72" t="str">
        <x:v>Jeevisha Spine Pain &amp; Regenerative Clinic; canonical public name still unresolved.</x:v>
      </x:c>
      <x:c r="D13" s="79" t="str">
        <x:v>1</x:v>
      </x:c>
      <x:c r="E13" s="71" t="str">
        <x:v>Lock canonical NAP and resolve the two phone numbers.</x:v>
      </x:c>
    </x:row>
    <x:row r="14" ht="52.79999923706055" hidden="0" customHeight="1">
      <x:c r="A14" s="66" t="str">
        <x:v>Content</x:v>
      </x:c>
      <x:c r="B14" s="72" t="str">
        <x:v>156 extracted idea rows; 151 usable excluding duplicates/rejected.</x:v>
      </x:c>
      <x:c r="D14" s="79" t="str">
        <x:v>2</x:v>
      </x:c>
      <x:c r="E14" s="71" t="str">
        <x:v>Obtain GBP Manager access and complete current-state/performance audit.</x:v>
      </x:c>
    </x:row>
    <x:row r="15" ht="52.79999923706055" hidden="0" customHeight="1">
      <x:c r="A15" s="66" t="str">
        <x:v>Scripts</x:v>
      </x:c>
      <x:c r="B15" s="72" t="str">
        <x:v>0 complete production scripts; 1 detailed framework; 24 reusable fragments.</x:v>
      </x:c>
      <x:c r="D15" s="79" t="str">
        <x:v>3</x:v>
      </x:c>
      <x:c r="E15" s="71" t="str">
        <x:v>Collect logo, approved photos, editable design/video source files and licences.</x:v>
      </x:c>
    </x:row>
    <x:row r="16" ht="52.79999923706055" hidden="0" customHeight="1">
      <x:c r="A16" s="66" t="str">
        <x:v>GMB</x:v>
      </x:c>
      <x:c r="B16" s="72" t="str">
        <x:v>Public profile exists with 4.9 rating and 195 reviews; Manager audit/performance missing.</x:v>
      </x:c>
      <x:c r="D16" s="79" t="str">
        <x:v>4</x:v>
      </x:c>
      <x:c r="E16" s="71" t="str">
        <x:v>Implement patient consent and approval/publication logs.</x:v>
      </x:c>
    </x:row>
    <x:row r="17" ht="52.79999923706055" hidden="0" customHeight="1">
      <x:c r="A17" s="66" t="str">
        <x:v>Assets</x:v>
      </x:c>
      <x:c r="B17" s="72" t="str">
        <x:v>No official logo masters, editable source files, founder/clinic photo set or video projects found.</x:v>
      </x:c>
      <x:c r="D17" s="79" t="str">
        <x:v>5</x:v>
      </x:c>
      <x:c r="E17" s="71" t="str">
        <x:v>Doctor-review services, treatment claims, prices, offers and all patient outcomes.</x:v>
      </x:c>
    </x:row>
    <x:row r="18" ht="52.79999923706055" hidden="0" customHeight="1">
      <x:c r="A18" s="66" t="str">
        <x:v>Governance</x:v>
      </x:c>
      <x:c r="B18" s="72" t="str">
        <x:v>No formal approval evidence; all drafts remain DRAFT, NEEDS_REVIEW or reference-only.</x:v>
      </x:c>
      <x:c r="D18" s="79" t="str">
        <x:v>6</x:v>
      </x:c>
      <x:c r="E18" s="71" t="str">
        <x:v>Write the pending 15 complete scripts using the extracted framework.</x:v>
      </x:c>
    </x:row>
    <x:row r="19"/>
    <x:row r="20"/>
  </x:sheetData>
  <x:mergeCells>
    <x:mergeCell ref="A1:J1"/>
    <x:mergeCell ref="A2:J2"/>
    <x:mergeCell ref="E13:J13"/>
    <x:mergeCell ref="E14:J14"/>
    <x:mergeCell ref="E15:J15"/>
    <x:mergeCell ref="E16:J16"/>
    <x:mergeCell ref="E17:J17"/>
    <x:mergeCell ref="E18:J18"/>
    <x:mergeCell ref="A12:C12"/>
    <x:mergeCell ref="D12:J12"/>
    <x:mergeCell ref="B13:C13"/>
    <x:mergeCell ref="B14:C14"/>
    <x:mergeCell ref="B15:C15"/>
    <x:mergeCell ref="B16:C16"/>
    <x:mergeCell ref="B17:C17"/>
    <x:mergeCell ref="B18:C18"/>
  </x:mergeCells>
  <x:pageMargins left="0.7" right="0.7" top="0.75" bottom="0.75" header="0.3" footer="0.3"/>
  <x:drawing xmlns:r="http://schemas.openxmlformats.org/officeDocument/2006/relationships" r:id="R2d84b26eefb84a81"/>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22" hidden="0" customWidth="1"/>
    <x:col min="5" max="5" width="16" hidden="0" customWidth="1"/>
    <x:col min="6" max="6" width="50" hidden="0" customWidth="1"/>
    <x:col min="7" max="7" width="32" hidden="0" customWidth="1"/>
  </x:cols>
  <x:sheetData>
    <x:row r="1" ht="19.200000762939453" hidden="0" customHeight="1">
      <x:c r="A1" s="5" t="str">
        <x:v>Source Inventory</x:v>
      </x:c>
      <x:c r="B1" s="5"/>
      <x:c r="C1" s="5"/>
      <x:c r="D1" s="5"/>
      <x:c r="E1" s="5"/>
      <x:c r="F1" s="5"/>
      <x:c r="G1" s="5"/>
    </x:row>
    <x:row r="2" ht="15" hidden="0" customHeight="1">
      <x:c r="A2" s="11" t="str">
        <x:v>Jeevisha Client Handover · Updated 2026-07-16 · statuses are evidence-based</x:v>
      </x:c>
      <x:c r="B2" s="11"/>
      <x:c r="C2" s="11"/>
      <x:c r="D2" s="11"/>
      <x:c r="E2" s="11"/>
      <x:c r="F2" s="11"/>
      <x:c r="G2" s="11"/>
    </x:row>
    <x:row r="3"/>
    <x:row r="4" ht="15" hidden="0" customHeight="1">
      <x:c r="A4" s="18" t="str">
        <x:v>Source</x:v>
      </x:c>
      <x:c r="B4" s="18" t="str">
        <x:v>File</x:v>
      </x:c>
      <x:c r="C4" s="18" t="str">
        <x:v>Category</x:v>
      </x:c>
      <x:c r="D4" s="18" t="str">
        <x:v>Availability</x:v>
      </x:c>
      <x:c r="E4" s="18" t="str">
        <x:v>Status</x:v>
      </x:c>
      <x:c r="F4" s="18" t="str">
        <x:v>Summary</x:v>
      </x:c>
      <x:c r="G4" s="18" t="str">
        <x:v>Reference_or_Path</x:v>
      </x:c>
    </x:row>
    <x:row r="5" ht="21.600000381469727" hidden="0" customHeight="1">
      <x:c r="A5" s="26" t="str">
        <x:v>Local</x:v>
      </x:c>
      <x:c r="B5" s="26" t="str">
        <x:v>Caption-Format.txt</x:v>
      </x:c>
      <x:c r="C5" s="26" t="str">
        <x:v>Current conversation/local project file</x:v>
      </x:c>
      <x:c r="D5" s="26" t="str">
        <x:v>Yes</x:v>
      </x:c>
      <x:c r="E5" s="26" t="str">
        <x:v>RAW_SOURCE</x:v>
      </x:c>
      <x:c r="F5" s="26" t="str">
        <x:v>Untouched local source included.</x:v>
      </x:c>
      <x:c r="G5" s="26" t="str">
        <x:v>Caption-Format.txt</x:v>
      </x:c>
    </x:row>
    <x:row r="6" ht="21.600000381469727" hidden="0" customHeight="1">
      <x:c r="A6" s="26" t="str">
        <x:v>Local</x:v>
      </x:c>
      <x:c r="B6" s="26" t="str">
        <x:v>GMB Post and Image Guidelines.txt</x:v>
      </x:c>
      <x:c r="C6" s="26" t="str">
        <x:v>Current conversation/local project file</x:v>
      </x:c>
      <x:c r="D6" s="26" t="str">
        <x:v>Yes</x:v>
      </x:c>
      <x:c r="E6" s="26" t="str">
        <x:v>RAW_SOURCE</x:v>
      </x:c>
      <x:c r="F6" s="26" t="str">
        <x:v>Untouched local source included.</x:v>
      </x:c>
      <x:c r="G6" s="26" t="str">
        <x:v>GMB Post and Image Guidelines.txt</x:v>
      </x:c>
    </x:row>
    <x:row r="7" ht="21.600000381469727" hidden="0" customHeight="1">
      <x:c r="A7" s="26" t="str">
        <x:v>Local</x:v>
      </x:c>
      <x:c r="B7" s="26" t="str">
        <x:v>Jeevisha Marathi Text Overlay Script.txt</x:v>
      </x:c>
      <x:c r="C7" s="26" t="str">
        <x:v>Current conversation/local project file</x:v>
      </x:c>
      <x:c r="D7" s="26" t="str">
        <x:v>Yes</x:v>
      </x:c>
      <x:c r="E7" s="26" t="str">
        <x:v>RAW_SOURCE</x:v>
      </x:c>
      <x:c r="F7" s="26" t="str">
        <x:v>Untouched local source included.</x:v>
      </x:c>
      <x:c r="G7" s="26" t="str">
        <x:v>Jeevisha Marathi Text Overlay Script.txt</x:v>
      </x:c>
    </x:row>
    <x:row r="8" ht="21.600000381469727" hidden="0" customHeight="1">
      <x:c r="A8" s="26" t="str">
        <x:v>Local</x:v>
      </x:c>
      <x:c r="B8" s="26" t="str">
        <x:v>Jeevisha Research.md</x:v>
      </x:c>
      <x:c r="C8" s="26" t="str">
        <x:v>Current conversation/local project file</x:v>
      </x:c>
      <x:c r="D8" s="26" t="str">
        <x:v>Yes</x:v>
      </x:c>
      <x:c r="E8" s="26" t="str">
        <x:v>RAW_SOURCE</x:v>
      </x:c>
      <x:c r="F8" s="26" t="str">
        <x:v>Untouched local source included.</x:v>
      </x:c>
      <x:c r="G8" s="26" t="str">
        <x:v>Jeevisha Research.md</x:v>
      </x:c>
    </x:row>
    <x:row r="9" ht="21.600000381469727" hidden="0" customHeight="1">
      <x:c r="A9" s="26" t="str">
        <x:v>Local</x:v>
      </x:c>
      <x:c r="B9" s="26" t="str">
        <x:v>Jeevisha_Master_Brand_Brain_vFinal.md</x:v>
      </x:c>
      <x:c r="C9" s="26" t="str">
        <x:v>Current conversation/local project file</x:v>
      </x:c>
      <x:c r="D9" s="26" t="str">
        <x:v>Yes</x:v>
      </x:c>
      <x:c r="E9" s="26" t="str">
        <x:v>RAW_SOURCE</x:v>
      </x:c>
      <x:c r="F9" s="26" t="str">
        <x:v>Untouched local source included.</x:v>
      </x:c>
      <x:c r="G9" s="26" t="str">
        <x:v>Jeevisha_Master_Brand_Brain_vFinal.md</x:v>
      </x:c>
    </x:row>
    <x:row r="10" ht="21.600000381469727" hidden="0" customHeight="1">
      <x:c r="A10" s="26" t="str">
        <x:v>Local</x:v>
      </x:c>
      <x:c r="B10" s="26" t="str">
        <x:v>Pasted text(1).txt</x:v>
      </x:c>
      <x:c r="C10" s="26" t="str">
        <x:v>Current conversation/local project file</x:v>
      </x:c>
      <x:c r="D10" s="26" t="str">
        <x:v>Yes</x:v>
      </x:c>
      <x:c r="E10" s="26" t="str">
        <x:v>RAW_SOURCE</x:v>
      </x:c>
      <x:c r="F10" s="26" t="str">
        <x:v>Untouched local source included.</x:v>
      </x:c>
      <x:c r="G10" s="26" t="str">
        <x:v>Pasted text(1).txt</x:v>
      </x:c>
    </x:row>
    <x:row r="11" ht="21.600000381469727" hidden="0" customHeight="1">
      <x:c r="A11" s="26" t="str">
        <x:v>Local</x:v>
      </x:c>
      <x:c r="B11" s="26" t="str">
        <x:v>brain.md</x:v>
      </x:c>
      <x:c r="C11" s="26" t="str">
        <x:v>Current conversation/local project file</x:v>
      </x:c>
      <x:c r="D11" s="26" t="str">
        <x:v>Yes</x:v>
      </x:c>
      <x:c r="E11" s="26" t="str">
        <x:v>RAW_SOURCE</x:v>
      </x:c>
      <x:c r="F11" s="26" t="str">
        <x:v>Untouched local source included.</x:v>
      </x:c>
      <x:c r="G11" s="26" t="str">
        <x:v>brain.md</x:v>
      </x:c>
    </x:row>
    <x:row r="12" ht="21.600000381469727" hidden="0" customHeight="1">
      <x:c r="A12" s="26" t="str">
        <x:v>Local</x:v>
      </x:c>
      <x:c r="B12" s="26" t="str">
        <x:v>gmb-overview.png</x:v>
      </x:c>
      <x:c r="C12" s="26" t="str">
        <x:v>Current conversation/local project file</x:v>
      </x:c>
      <x:c r="D12" s="26" t="str">
        <x:v>Yes</x:v>
      </x:c>
      <x:c r="E12" s="26" t="str">
        <x:v>RAW_SOURCE</x:v>
      </x:c>
      <x:c r="F12" s="26" t="str">
        <x:v>Untouched local source included.</x:v>
      </x:c>
      <x:c r="G12" s="26" t="str">
        <x:v>gmb-overview.png</x:v>
      </x:c>
    </x:row>
    <x:row r="13" ht="21.600000381469727" hidden="0" customHeight="1">
      <x:c r="A13" s="26" t="str">
        <x:v>Local</x:v>
      </x:c>
      <x:c r="B13" s="26" t="str">
        <x:v>jeevisha-design-system.html</x:v>
      </x:c>
      <x:c r="C13" s="26" t="str">
        <x:v>Current conversation/local project file</x:v>
      </x:c>
      <x:c r="D13" s="26" t="str">
        <x:v>Yes</x:v>
      </x:c>
      <x:c r="E13" s="26" t="str">
        <x:v>RAW_SOURCE</x:v>
      </x:c>
      <x:c r="F13" s="26" t="str">
        <x:v>Untouched local source included.</x:v>
      </x:c>
      <x:c r="G13" s="26" t="str">
        <x:v>jeevisha-design-system.html</x:v>
      </x:c>
    </x:row>
    <x:row r="14" ht="21.600000381469727" hidden="0" customHeight="1">
      <x:c r="A14" s="26" t="str">
        <x:v>Local</x:v>
      </x:c>
      <x:c r="B14" s="26" t="str">
        <x:v>jeevisha-gmb-foundation.md</x:v>
      </x:c>
      <x:c r="C14" s="26" t="str">
        <x:v>Current conversation/local project file</x:v>
      </x:c>
      <x:c r="D14" s="26" t="str">
        <x:v>Yes</x:v>
      </x:c>
      <x:c r="E14" s="26" t="str">
        <x:v>RAW_SOURCE</x:v>
      </x:c>
      <x:c r="F14" s="26" t="str">
        <x:v>Untouched local source included.</x:v>
      </x:c>
      <x:c r="G14" s="26" t="str">
        <x:v>jeevisha-gmb-foundation.md</x:v>
      </x:c>
    </x:row>
    <x:row r="15" ht="21.600000381469727" hidden="0" customHeight="1">
      <x:c r="A15" s="26" t="str">
        <x:v>Local</x:v>
      </x:c>
      <x:c r="B15" s="26" t="str">
        <x:v>jeevisha_design_instructions.md</x:v>
      </x:c>
      <x:c r="C15" s="26" t="str">
        <x:v>Current conversation/local project file</x:v>
      </x:c>
      <x:c r="D15" s="26" t="str">
        <x:v>Yes</x:v>
      </x:c>
      <x:c r="E15" s="26" t="str">
        <x:v>RAW_SOURCE</x:v>
      </x:c>
      <x:c r="F15" s="26" t="str">
        <x:v>Untouched local source included.</x:v>
      </x:c>
      <x:c r="G15" s="26" t="str">
        <x:v>jeevisha_design_instructions.md</x:v>
      </x:c>
    </x:row>
    <x:row r="16" ht="21.600000381469727" hidden="0" customHeight="1">
      <x:c r="A16" s="26" t="str">
        <x:v>Local</x:v>
      </x:c>
      <x:c r="B16" s="26" t="str">
        <x:v>jeevisha_prompting_style_guideline.md</x:v>
      </x:c>
      <x:c r="C16" s="26" t="str">
        <x:v>Current conversation/local project file</x:v>
      </x:c>
      <x:c r="D16" s="26" t="str">
        <x:v>Yes</x:v>
      </x:c>
      <x:c r="E16" s="26" t="str">
        <x:v>RAW_SOURCE</x:v>
      </x:c>
      <x:c r="F16" s="26" t="str">
        <x:v>Untouched local source included.</x:v>
      </x:c>
      <x:c r="G16" s="26" t="str">
        <x:v>jeevisha_prompting_style_guideline.md</x:v>
      </x:c>
    </x:row>
    <x:row r="17" ht="21.600000381469727" hidden="0" customHeight="1">
      <x:c r="A17" s="26" t="str">
        <x:v>Local</x:v>
      </x:c>
      <x:c r="B17" s="26" t="str">
        <x:v>seo-foundation.md</x:v>
      </x:c>
      <x:c r="C17" s="26" t="str">
        <x:v>Current conversation/local project file</x:v>
      </x:c>
      <x:c r="D17" s="26" t="str">
        <x:v>Yes</x:v>
      </x:c>
      <x:c r="E17" s="26" t="str">
        <x:v>RAW_SOURCE</x:v>
      </x:c>
      <x:c r="F17" s="26" t="str">
        <x:v>Untouched local source included.</x:v>
      </x:c>
      <x:c r="G17" s="26" t="str">
        <x:v>seo-foundation.md</x:v>
      </x:c>
    </x:row>
    <x:row r="18" ht="21.600000381469727" hidden="0" customHeight="1">
      <x:c r="A18" s="26" t="str">
        <x:v>Local</x:v>
      </x:c>
      <x:c r="B18" s="26" t="str">
        <x:v>gmb-reviews.png</x:v>
      </x:c>
      <x:c r="C18" s="26" t="str">
        <x:v>Current conversation/local project file</x:v>
      </x:c>
      <x:c r="D18" s="26" t="str">
        <x:v>No; redacted derivative included</x:v>
      </x:c>
      <x:c r="E18" s="26" t="str">
        <x:v>RESTRICTED_SOURCE</x:v>
      </x:c>
      <x:c r="F18" s="26" t="str">
        <x:v>Contains identifiable patient name and medical review text; excluded under privacy rule.</x:v>
      </x:c>
      <x:c r="G18" s="26" t="str">
        <x:v>gmb-reviews.png</x:v>
      </x:c>
    </x:row>
    <x:row r="19" ht="21.600000381469727" hidden="0" customHeight="1">
      <x:c r="A19" s="26" t="str">
        <x:v>File Library</x:v>
      </x:c>
      <x:c r="B19" s="26" t="str">
        <x:v>Pasted markdown.md</x:v>
      </x:c>
      <x:c r="C19" s="26" t="str">
        <x:v>Project state</x:v>
      </x:c>
      <x:c r="D19" s="26" t="str">
        <x:v>Reference only; raw bytes not mounted.</x:v>
      </x:c>
      <x:c r="E19" s="26" t="str">
        <x:v>REFERENCE_ONLY</x:v>
      </x:c>
      <x:c r="F19" s="26" t="str">
        <x:v>Prompt 00–05 complete; onboarding 95%; audit/execution dependencies listed.</x:v>
      </x:c>
      <x:c r="G19" s="26" t="str">
        <x:v>file_0000000039b871faaf46b796fe5c4716 / turn7file0</x:v>
      </x:c>
    </x:row>
    <x:row r="20" ht="21.600000381469727" hidden="0" customHeight="1">
      <x:c r="A20" s="26" t="str">
        <x:v>File Library</x:v>
      </x:c>
      <x:c r="B20" s="26" t="str">
        <x:v>digitech-taskos-mini-app.html</x:v>
      </x:c>
      <x:c r="C20" s="26" t="str">
        <x:v>Task tracker</x:v>
      </x:c>
      <x:c r="D20" s="26" t="str">
        <x:v>Reference only; raw bytes not mounted.</x:v>
      </x:c>
      <x:c r="E20" s="26" t="str">
        <x:v>REFERENCE_ONLY</x:v>
      </x:c>
      <x:c r="F20" s="26" t="str">
        <x:v>Jeevisha target and open video/social/planning tasks.</x:v>
      </x:c>
      <x:c r="G20" s="26" t="str">
        <x:v>file_00000000fd407207b0844ea4b0891bfd / turn7file2</x:v>
      </x:c>
    </x:row>
    <x:row r="21" ht="21.600000381469727" hidden="0" customHeight="1">
      <x:c r="A21" s="26" t="str">
        <x:v>File Library</x:v>
      </x:c>
      <x:c r="B21" s="26" t="str">
        <x:v>client-tasks-dashboard.html</x:v>
      </x:c>
      <x:c r="C21" s="26" t="str">
        <x:v>Task tracker</x:v>
      </x:c>
      <x:c r="D21" s="26" t="str">
        <x:v>Reference only; raw bytes not mounted.</x:v>
      </x:c>
      <x:c r="E21" s="26" t="str">
        <x:v>REFERENCE_ONLY</x:v>
      </x:c>
      <x:c r="F21" s="26" t="str">
        <x:v>Duplicate/parallel task tracker with Jeevisha tasks not started.</x:v>
      </x:c>
      <x:c r="G21" s="26" t="str">
        <x:v>file_0000000073c072079e5166bacdc05d8f / turn7file5</x:v>
      </x:c>
    </x:row>
    <x:row r="22" ht="21.600000381469727" hidden="0" customHeight="1">
      <x:c r="A22" s="26" t="str">
        <x:v>File Library</x:v>
      </x:c>
      <x:c r="B22" s="26" t="str">
        <x:v>digitech-client-task-canvas.html</x:v>
      </x:c>
      <x:c r="C22" s="26" t="str">
        <x:v>Task tracker</x:v>
      </x:c>
      <x:c r="D22" s="26" t="str">
        <x:v>Reference only; raw bytes not mounted.</x:v>
      </x:c>
      <x:c r="E22" s="26" t="str">
        <x:v>REFERENCE_ONLY</x:v>
      </x:c>
      <x:c r="F22" s="26" t="str">
        <x:v>Parallel task canvas; same Jeevisha open tasks.</x:v>
      </x:c>
      <x:c r="G22" s="26" t="str">
        <x:v>file_00000000aafc7207b9178f3a45f0386a / turn7file8</x:v>
      </x:c>
    </x:row>
    <x:row r="23" ht="21.600000381469727" hidden="0" customHeight="1">
      <x:c r="A23" s="26" t="str">
        <x:v>File Library</x:v>
      </x:c>
      <x:c r="B23" s="26" t="str">
        <x:v>1000066961.jpg</x:v>
      </x:c>
      <x:c r="C23" s="26" t="str">
        <x:v>Contact reference</x:v>
      </x:c>
      <x:c r="D23" s="26" t="str">
        <x:v>Reference only; raw bytes not mounted.</x:v>
      </x:c>
      <x:c r="E23" s="26" t="str">
        <x:v>REFERENCE_ONLY</x:v>
      </x:c>
      <x:c r="F23" s="26" t="str">
        <x:v>Displays alternate booking phone +91 90284 31238.</x:v>
      </x:c>
      <x:c r="G23" s="26" t="str">
        <x:v>file_00000000f9f071f8a5fb789ac160b40f / turn7file7</x:v>
      </x:c>
    </x:row>
    <x:row r="24" ht="21.600000381469727" hidden="0" customHeight="1">
      <x:c r="A24" s="26" t="str">
        <x:v>File Library</x:v>
      </x:c>
      <x:c r="B24" s="26" t="str">
        <x:v>Jeevisha Pain Clinic - Transforming lives, painlessly.png</x:v>
      </x:c>
      <x:c r="C24" s="26" t="str">
        <x:v>Creative reference</x:v>
      </x:c>
      <x:c r="D24" s="26" t="str">
        <x:v>Reference only; raw bytes not mounted.</x:v>
      </x:c>
      <x:c r="E24" s="26" t="str">
        <x:v>REFERENCE_ONLY</x:v>
      </x:c>
      <x:c r="F24" s="26" t="str">
        <x:v>Poster adaptation request for Jeevisha.</x:v>
      </x:c>
      <x:c r="G24" s="26" t="str">
        <x:v>file_0000000013847209b0a94ab29f5f0531 / turn7file9</x:v>
      </x:c>
    </x:row>
    <x:row r="25" ht="21.600000381469727" hidden="0" customHeight="1">
      <x:c r="A25" s="26" t="str">
        <x:v>File Library</x:v>
      </x:c>
      <x:c r="B25" s="26" t="str">
        <x:v>Knee cartilage solutions at Jeevisha Hospital.png</x:v>
      </x:c>
      <x:c r="C25" s="26" t="str">
        <x:v>Creative feedback</x:v>
      </x:c>
      <x:c r="D25" s="26" t="str">
        <x:v>Reference only; raw bytes not mounted.</x:v>
      </x:c>
      <x:c r="E25" s="26" t="str">
        <x:v>REFERENCE_ONLY</x:v>
      </x:c>
      <x:c r="F25" s="26" t="str">
        <x:v>Revision request: make white/cream.</x:v>
      </x:c>
      <x:c r="G25" s="26" t="str">
        <x:v>file_00000000c70c7207b5fd83e83217d80e / turn7file15</x:v>
      </x:c>
    </x:row>
    <x:row r="26" ht="21.600000381469727" hidden="0" customHeight="1">
      <x:c r="A26" s="26" t="str">
        <x:v>File Library</x:v>
      </x:c>
      <x:c r="B26" s="26" t="str">
        <x:v>8daac6f2-d88d-4c9e-86d9-351e89edb97e.png</x:v>
      </x:c>
      <x:c r="C26" s="26" t="str">
        <x:v>Creative reference</x:v>
      </x:c>
      <x:c r="D26" s="26" t="str">
        <x:v>Reference only; raw bytes not mounted.</x:v>
      </x:c>
      <x:c r="E26" s="26" t="str">
        <x:v>REFERENCE_ONLY</x:v>
      </x:c>
      <x:c r="F26" s="26" t="str">
        <x:v>Knee cartilage / before knee replacement promotional graphic.</x:v>
      </x:c>
      <x:c r="G26" s="26" t="str">
        <x:v>file_00000000af80720bafa559ddb77c1cb9 / turn7file11</x:v>
      </x:c>
    </x:row>
    <x:row r="27" ht="21.600000381469727" hidden="0" customHeight="1">
      <x:c r="A27" s="26" t="str">
        <x:v>File Library</x:v>
      </x:c>
      <x:c r="B27" s="26" t="str">
        <x:v>Knee cartilage: worn out or fixed?.png</x:v>
      </x:c>
      <x:c r="C27" s="26" t="str">
        <x:v>Creative feedback</x:v>
      </x:c>
      <x:c r="D27" s="26" t="str">
        <x:v>Reference only; raw bytes not mounted.</x:v>
      </x:c>
      <x:c r="E27" s="26" t="str">
        <x:v>REFERENCE_ONLY</x:v>
      </x:c>
      <x:c r="F27" s="26" t="str">
        <x:v>Design 'ok' with changes: remove hospital text, smaller bottom content, handwriting font.</x:v>
      </x:c>
      <x:c r="G27" s="26" t="str">
        <x:v>file_00000000d678720b98702ff6209c121b / turn6file8</x:v>
      </x:c>
    </x:row>
    <x:row r="28" ht="21.600000381469727" hidden="0" customHeight="1">
      <x:c r="A28" s="26" t="str">
        <x:v>File Library</x:v>
      </x:c>
      <x:c r="B28" s="26" t="str">
        <x:v>Jeevisha.jpg</x:v>
      </x:c>
      <x:c r="C28" s="26" t="str">
        <x:v>Legacy creative</x:v>
      </x:c>
      <x:c r="D28" s="26" t="str">
        <x:v>Reference only; raw bytes not mounted.</x:v>
      </x:c>
      <x:c r="E28" s="26" t="str">
        <x:v>REFERENCE_ONLY</x:v>
      </x:c>
      <x:c r="F28" s="26" t="str">
        <x:v>Maharashtra/Labour Day poster using old 'Pain Management Center' naming.</x:v>
      </x:c>
      <x:c r="G28" s="26" t="str">
        <x:v>file_0000000076b87208b236a814d601c193 / turn6file4</x:v>
      </x:c>
    </x:row>
    <x:row r="29" ht="21.600000381469727" hidden="0" customHeight="1">
      <x:c r="A29" s="26" t="str">
        <x:v>File Library</x:v>
      </x:c>
      <x:c r="B29" s="26" t="str">
        <x:v>Pasted markdown.md — design-system note</x:v>
      </x:c>
      <x:c r="C29" s="26" t="str">
        <x:v>Governance note</x:v>
      </x:c>
      <x:c r="D29" s="26" t="str">
        <x:v>Reference only; raw bytes not mounted.</x:v>
      </x:c>
      <x:c r="E29" s="26" t="str">
        <x:v>REFERENCE_ONLY</x:v>
      </x:c>
      <x:c r="F29" s="26" t="str">
        <x:v>HTML internal-only; fictional testimonial and demo content warning; written sources authoritative.</x:v>
      </x:c>
      <x:c r="G29" s="26" t="str">
        <x:v>file_00000000c850720890dc8fbf33df39ca / turn6file17</x:v>
      </x:c>
    </x:row>
    <x:row r="30" ht="21.600000381469727" hidden="0" customHeight="1">
      <x:c r="A30" s="26" t="str">
        <x:v>File Library</x:v>
      </x:c>
      <x:c r="B30" s="26" t="str">
        <x:v>Older NAP/brand brief markdown</x:v>
      </x:c>
      <x:c r="C30" s="26" t="str">
        <x:v>Legacy NAP</x:v>
      </x:c>
      <x:c r="D30" s="26" t="str">
        <x:v>Reference only; raw bytes not mounted.</x:v>
      </x:c>
      <x:c r="E30" s="26" t="str">
        <x:v>REFERENCE_ONLY</x:v>
      </x:c>
      <x:c r="F30" s="26" t="str">
        <x:v>Uses 'Jeevisha Spine Pain &amp; Regenerative Hospital' and generic address/PIN.</x:v>
      </x:c>
      <x:c r="G30" s="26" t="str">
        <x:v>file_0000000026487207800503b1137dabe8 / turn4file11</x:v>
      </x:c>
    </x:row>
  </x:sheetData>
  <x:mergeCells>
    <x:mergeCell ref="A1:G1"/>
    <x:mergeCell ref="A2:G2"/>
  </x:mergeCells>
  <x:conditionalFormatting sqref="A5:G30">
    <x:cfRule type="expression" dxfId="0" priority="1">
      <x:formula>MOD(ROW(),2)=0</x:formula>
    </x:cfRule>
  </x:conditionalFormatting>
  <x:pageMargins left="0.7" right="0.7" top="0.75" bottom="0.75" header="0.3" footer="0.3"/>
  <x:tableParts count="1">
    <x:tablePart xmlns:r="http://schemas.openxmlformats.org/officeDocument/2006/relationships" r:id="Rcc511e4d48574a95"/>
  </x:tableParts>
</x:worksheet>
</file>

<file path=xl/worksheets/sheet3.xml><?xml version="1.0" encoding="utf-8"?>
<x:worksheet xmlns:x="http://schemas.openxmlformats.org/spreadsheetml/2006/main">
  <x:sheetFormatPr defaultRowHeight="15"/>
  <x:cols>
    <x:col min="1" max="1" width="10" hidden="0" customWidth="1"/>
    <x:col min="2" max="2" width="30" hidden="0" customWidth="1"/>
    <x:col min="3" max="3" width="20" hidden="0" customWidth="1"/>
    <x:col min="4" max="4" width="12" hidden="0" customWidth="1"/>
    <x:col min="5" max="5" width="34" hidden="0" customWidth="1"/>
    <x:col min="6" max="6" width="18" hidden="0" customWidth="1"/>
    <x:col min="7" max="7" width="28" hidden="0" customWidth="1"/>
    <x:col min="8" max="8" width="16" hidden="0" customWidth="1"/>
    <x:col min="9" max="9" width="30" hidden="0" customWidth="1"/>
    <x:col min="10" max="10" width="50" hidden="0" customWidth="1"/>
  </x:cols>
  <x:sheetData>
    <x:row r="1" ht="19.200000762939453" hidden="0" customHeight="1">
      <x:c r="A1" s="5" t="str">
        <x:v>Production Asset Register</x:v>
      </x:c>
      <x:c r="B1" s="5"/>
      <x:c r="C1" s="5"/>
      <x:c r="D1" s="5"/>
      <x:c r="E1" s="5"/>
      <x:c r="F1" s="5"/>
      <x:c r="G1" s="5"/>
      <x:c r="H1" s="5"/>
      <x:c r="I1" s="5"/>
      <x:c r="J1" s="5"/>
    </x:row>
    <x:row r="2" ht="15" hidden="0" customHeight="1">
      <x:c r="A2" s="11" t="str">
        <x:v>Jeevisha Client Handover · Updated 2026-07-16 · statuses are evidence-based</x:v>
      </x:c>
      <x:c r="B2" s="11"/>
      <x:c r="C2" s="11"/>
      <x:c r="D2" s="11"/>
      <x:c r="E2" s="11"/>
      <x:c r="F2" s="11"/>
      <x:c r="G2" s="11"/>
      <x:c r="H2" s="11"/>
      <x:c r="I2" s="11"/>
      <x:c r="J2" s="11"/>
    </x:row>
    <x:row r="3"/>
    <x:row r="4" ht="15" hidden="0" customHeight="1">
      <x:c r="A4" s="18" t="str">
        <x:v>Asset_ID</x:v>
      </x:c>
      <x:c r="B4" s="18" t="str">
        <x:v>Asset_Name</x:v>
      </x:c>
      <x:c r="C4" s="18" t="str">
        <x:v>Asset_Type</x:v>
      </x:c>
      <x:c r="D4" s="18" t="str">
        <x:v>Format</x:v>
      </x:c>
      <x:c r="E4" s="18" t="str">
        <x:v>Location</x:v>
      </x:c>
      <x:c r="F4" s="18" t="str">
        <x:v>Status</x:v>
      </x:c>
      <x:c r="G4" s="18" t="str">
        <x:v>Approval_Evidence</x:v>
      </x:c>
      <x:c r="H4" s="18" t="str">
        <x:v>Production_Ready</x:v>
      </x:c>
      <x:c r="I4" s="18" t="str">
        <x:v>Source</x:v>
      </x:c>
      <x:c r="J4" s="18" t="str">
        <x:v>Notes</x:v>
      </x:c>
    </x:row>
    <x:row r="5" ht="21.600000381469727" hidden="0" customHeight="1">
      <x:c r="A5" s="26" t="str">
        <x:v>AST-001</x:v>
      </x:c>
      <x:c r="B5" s="26" t="str">
        <x:v>gmb-overview.png</x:v>
      </x:c>
      <x:c r="C5" s="26" t="str">
        <x:v>Public GBP screenshot</x:v>
      </x:c>
      <x:c r="D5" s="26" t="str">
        <x:v>PNG</x:v>
      </x:c>
      <x:c r="E5" s="26" t="str">
        <x:v>01_SOURCE_DOCUMENTS/Originals_Local and 05_GMB/Current_State</x:v>
      </x:c>
      <x:c r="F5" s="26" t="str">
        <x:v>LIVE_REFERENCE</x:v>
      </x:c>
      <x:c r="G5" s="26" t="str">
        <x:v>Public live profile screenshot</x:v>
      </x:c>
      <x:c r="H5" s="26" t="str">
        <x:v>Reference only</x:v>
      </x:c>
      <x:c r="I5" s="26" t="str">
        <x:v>Current conversation</x:v>
      </x:c>
      <x:c r="J5" s="26" t="str">
        <x:v>Contains live name, rating, category, address, hours snapshot and website.</x:v>
      </x:c>
    </x:row>
    <x:row r="6" ht="21.600000381469727" hidden="0" customHeight="1">
      <x:c r="A6" s="26" t="str">
        <x:v>AST-002</x:v>
      </x:c>
      <x:c r="B6" s="26" t="str">
        <x:v>GMB reviews screenshot — redacted derivative</x:v>
      </x:c>
      <x:c r="C6" s="26" t="str">
        <x:v>Public GBP review-summary screenshot</x:v>
      </x:c>
      <x:c r="D6" s="26" t="str">
        <x:v>PNG</x:v>
      </x:c>
      <x:c r="E6" s="26" t="str">
        <x:v>05_GMB/Current_State</x:v>
      </x:c>
      <x:c r="F6" s="26" t="str">
        <x:v>LIVE_REFERENCE</x:v>
      </x:c>
      <x:c r="G6" s="26" t="str">
        <x:v>Public live profile screenshot</x:v>
      </x:c>
      <x:c r="H6" s="26" t="str">
        <x:v>Reference only</x:v>
      </x:c>
      <x:c r="I6" s="26" t="str">
        <x:v>Generated from current upload</x:v>
      </x:c>
      <x:c r="J6" s="26" t="str">
        <x:v>Patient-identifiable review text redacted; rating/count retained.</x:v>
      </x:c>
    </x:row>
    <x:row r="7" ht="21.600000381469727" hidden="0" customHeight="1">
      <x:c r="A7" s="26" t="str">
        <x:v>AST-003</x:v>
      </x:c>
      <x:c r="B7" s="26" t="str">
        <x:v>jeevisha-design-system.html</x:v>
      </x:c>
      <x:c r="C7" s="26" t="str">
        <x:v>Design-system visual reference</x:v>
      </x:c>
      <x:c r="D7" s="26" t="str">
        <x:v>HTML</x:v>
      </x:c>
      <x:c r="E7" s="26" t="str">
        <x:v>01_SOURCE_DOCUMENTS/Originals_Local</x:v>
      </x:c>
      <x:c r="F7" s="26" t="str">
        <x:v>DRAFT</x:v>
      </x:c>
      <x:c r="G7" s="26" t="str">
        <x:v>None</x:v>
      </x:c>
      <x:c r="H7" s="26" t="str">
        <x:v>No</x:v>
      </x:c>
      <x:c r="I7" s="26" t="str">
        <x:v>Current conversation</x:v>
      </x:c>
      <x:c r="J7" s="26" t="str">
        <x:v>Internal reference only; contains fictional testimonial/demo stat and font fallbacks.</x:v>
      </x:c>
    </x:row>
    <x:row r="8" ht="21.600000381469727" hidden="0" customHeight="1">
      <x:c r="A8" s="26" t="str">
        <x:v>AST-004</x:v>
      </x:c>
      <x:c r="B8" s="26" t="str">
        <x:v>Jeevisha Pain Clinic - Transforming lives, painlessly.png</x:v>
      </x:c>
      <x:c r="C8" s="26" t="str">
        <x:v>Promotional graphic reference</x:v>
      </x:c>
      <x:c r="D8" s="26" t="str">
        <x:v>PNG</x:v>
      </x:c>
      <x:c r="E8" s="26" t="str">
        <x:v>File Library reference only</x:v>
      </x:c>
      <x:c r="F8" s="26" t="str">
        <x:v>DRAFT</x:v>
      </x:c>
      <x:c r="G8" s="26" t="str">
        <x:v>Instruction to update information, not approval</x:v>
      </x:c>
      <x:c r="H8" s="26" t="str">
        <x:v>No raw file in ZIP</x:v>
      </x:c>
      <x:c r="I8" s="26" t="str">
        <x:v>File Library file_0000000013847209b0a94ab29f5f0531</x:v>
      </x:c>
      <x:c r="J8" s="26" t="str">
        <x:v>Original bytes inaccessible in active runtime.</x:v>
      </x:c>
    </x:row>
    <x:row r="9" ht="21.600000381469727" hidden="0" customHeight="1">
      <x:c r="A9" s="26" t="str">
        <x:v>AST-005</x:v>
      </x:c>
      <x:c r="B9" s="26" t="str">
        <x:v>Knee cartilage solutions at Jeevisha Hospital.png</x:v>
      </x:c>
      <x:c r="C9" s="26" t="str">
        <x:v>Knee campaign creative reference</x:v>
      </x:c>
      <x:c r="D9" s="26" t="str">
        <x:v>PNG</x:v>
      </x:c>
      <x:c r="E9" s="26" t="str">
        <x:v>File Library reference only</x:v>
      </x:c>
      <x:c r="F9" s="26" t="str">
        <x:v>PENDING_CLIENT</x:v>
      </x:c>
      <x:c r="G9" s="26" t="str">
        <x:v>Revision request: make white/cream</x:v>
      </x:c>
      <x:c r="H9" s="26" t="str">
        <x:v>No raw file in ZIP</x:v>
      </x:c>
      <x:c r="I9" s="26" t="str">
        <x:v>File Library file_00000000c70c7207b5fd83e83217d80e</x:v>
      </x:c>
      <x:c r="J9" s="26" t="str">
        <x:v>Feedback evidence, not final approval.</x:v>
      </x:c>
    </x:row>
    <x:row r="10" ht="21.600000381469727" hidden="0" customHeight="1">
      <x:c r="A10" s="26" t="str">
        <x:v>AST-006</x:v>
      </x:c>
      <x:c r="B10" s="26" t="str">
        <x:v>8daac6f2-d88d-4c9e-86d9-351e89edb97e.png</x:v>
      </x:c>
      <x:c r="C10" s="26" t="str">
        <x:v>Knee cartilage graphic reference</x:v>
      </x:c>
      <x:c r="D10" s="26" t="str">
        <x:v>PNG</x:v>
      </x:c>
      <x:c r="E10" s="26" t="str">
        <x:v>File Library reference only</x:v>
      </x:c>
      <x:c r="F10" s="26" t="str">
        <x:v>DRAFT</x:v>
      </x:c>
      <x:c r="G10" s="26" t="str">
        <x:v>None</x:v>
      </x:c>
      <x:c r="H10" s="26" t="str">
        <x:v>No raw file in ZIP</x:v>
      </x:c>
      <x:c r="I10" s="26" t="str">
        <x:v>File Library file_00000000af80720bafa559ddb77c1cb9</x:v>
      </x:c>
      <x:c r="J10" s="26" t="str">
        <x:v>Headline: KNEE CARTILAGE WORN OUT? KNOW THIS OPTION BEFORE KNEE REPLACEMENT.</x:v>
      </x:c>
    </x:row>
    <x:row r="11" ht="21.600000381469727" hidden="0" customHeight="1">
      <x:c r="A11" s="26" t="str">
        <x:v>AST-007</x:v>
      </x:c>
      <x:c r="B11" s="26" t="str">
        <x:v>Knee cartilage: worn out or fixed?.png</x:v>
      </x:c>
      <x:c r="C11" s="26" t="str">
        <x:v>Knee campaign revised creative reference</x:v>
      </x:c>
      <x:c r="D11" s="26" t="str">
        <x:v>PNG</x:v>
      </x:c>
      <x:c r="E11" s="26" t="str">
        <x:v>File Library reference only</x:v>
      </x:c>
      <x:c r="F11" s="26" t="str">
        <x:v>PENDING_CLIENT</x:v>
      </x:c>
      <x:c r="G11" s="26" t="str">
        <x:v>User said design is okay but requested changes</x:v>
      </x:c>
      <x:c r="H11" s="26" t="str">
        <x:v>No raw file in ZIP</x:v>
      </x:c>
      <x:c r="I11" s="26" t="str">
        <x:v>File Library file_00000000d678720b98702ff6209c121b</x:v>
      </x:c>
      <x:c r="J11" s="26" t="str">
        <x:v>Remove top-left hospital text; reduce bottom content; handwriting font for KNOW THIS OPTION.</x:v>
      </x:c>
    </x:row>
    <x:row r="12" ht="21.600000381469727" hidden="0" customHeight="1">
      <x:c r="A12" s="26" t="str">
        <x:v>AST-008</x:v>
      </x:c>
      <x:c r="B12" s="26" t="str">
        <x:v>Jeevisha.jpg</x:v>
      </x:c>
      <x:c r="C12" s="26" t="str">
        <x:v>Maharashtra Day/Labour Day poster</x:v>
      </x:c>
      <x:c r="D12" s="26" t="str">
        <x:v>JPG</x:v>
      </x:c>
      <x:c r="E12" s="26" t="str">
        <x:v>File Library reference only</x:v>
      </x:c>
      <x:c r="F12" s="26" t="str">
        <x:v>ARCHIVED</x:v>
      </x:c>
      <x:c r="G12" s="26" t="str">
        <x:v>Publication status not confirmed</x:v>
      </x:c>
      <x:c r="H12" s="26" t="str">
        <x:v>No raw file in ZIP</x:v>
      </x:c>
      <x:c r="I12" s="26" t="str">
        <x:v>File Library file_0000000076b87208b236a814d601c193</x:v>
      </x:c>
      <x:c r="J12" s="26" t="str">
        <x:v>Uses legacy name Jeevisha Pain Management Center.</x:v>
      </x:c>
    </x:row>
    <x:row r="13" ht="21.600000381469727" hidden="0" customHeight="1">
      <x:c r="A13" s="26" t="str">
        <x:v>AST-009</x:v>
      </x:c>
      <x:c r="B13" s="26" t="str">
        <x:v>1000066961.jpg</x:v>
      </x:c>
      <x:c r="C13" s="26" t="str">
        <x:v>Contact screenshot/reference</x:v>
      </x:c>
      <x:c r="D13" s="26" t="str">
        <x:v>JPG</x:v>
      </x:c>
      <x:c r="E13" s="26" t="str">
        <x:v>File Library reference only</x:v>
      </x:c>
      <x:c r="F13" s="26" t="str">
        <x:v>ARCHIVED_REFERENCE</x:v>
      </x:c>
      <x:c r="G13" s="26" t="str">
        <x:v>None</x:v>
      </x:c>
      <x:c r="H13" s="26" t="str">
        <x:v>No</x:v>
      </x:c>
      <x:c r="I13" s="26" t="str">
        <x:v>File Library file_00000000f9f071f8a5fb789ac160b40f</x:v>
      </x:c>
      <x:c r="J13" s="26" t="str">
        <x:v>Shows alternate phone +91 90284 31238; triggers NAP conflict.</x:v>
      </x:c>
    </x:row>
    <x:row r="14" ht="15" hidden="0" customHeight="1">
      <x:c r="A14" s="26" t="str">
        <x:v>AST-010</x:v>
      </x:c>
      <x:c r="B14" s="26" t="str">
        <x:v>Official logo master</x:v>
      </x:c>
      <x:c r="C14" s="26" t="str">
        <x:v>Logo</x:v>
      </x:c>
      <x:c r="D14" s="26" t="str">
        <x:v>SVG/AI/EPS/PDF</x:v>
      </x:c>
      <x:c r="E14" s="26" t="str">
        <x:v>MISSING</x:v>
      </x:c>
      <x:c r="F14" s="26" t="str">
        <x:v>MISSING</x:v>
      </x:c>
      <x:c r="G14" s="26" t="str"/>
      <x:c r="H14" s="26" t="str">
        <x:v>No</x:v>
      </x:c>
      <x:c r="I14" s="26" t="str">
        <x:v>Not found</x:v>
      </x:c>
      <x:c r="J14" s="26" t="str">
        <x:v>Collect official master and ownership.</x:v>
      </x:c>
    </x:row>
    <x:row r="15" ht="15" hidden="0" customHeight="1">
      <x:c r="A15" s="26" t="str">
        <x:v>AST-011</x:v>
      </x:c>
      <x:c r="B15" s="26" t="str">
        <x:v>Logo variants</x:v>
      </x:c>
      <x:c r="C15" s="26" t="str">
        <x:v>Logo variants</x:v>
      </x:c>
      <x:c r="D15" s="26" t="str">
        <x:v>PNG/SVG</x:v>
      </x:c>
      <x:c r="E15" s="26" t="str">
        <x:v>MISSING</x:v>
      </x:c>
      <x:c r="F15" s="26" t="str">
        <x:v>MISSING</x:v>
      </x:c>
      <x:c r="G15" s="26" t="str"/>
      <x:c r="H15" s="26" t="str">
        <x:v>No</x:v>
      </x:c>
      <x:c r="I15" s="26" t="str">
        <x:v>Not found</x:v>
      </x:c>
      <x:c r="J15" s="26" t="str">
        <x:v>Transparent, white, dark, monochrome, favicon.</x:v>
      </x:c>
    </x:row>
    <x:row r="16" ht="15" hidden="0" customHeight="1">
      <x:c r="A16" s="26" t="str">
        <x:v>AST-012</x:v>
      </x:c>
      <x:c r="B16" s="26" t="str">
        <x:v>Dr. Sanjog approved portrait set</x:v>
      </x:c>
      <x:c r="C16" s="26" t="str">
        <x:v>Founder photos</x:v>
      </x:c>
      <x:c r="D16" s="26" t="str">
        <x:v>JPG/RAW</x:v>
      </x:c>
      <x:c r="E16" s="26" t="str">
        <x:v>MISSING</x:v>
      </x:c>
      <x:c r="F16" s="26" t="str">
        <x:v>MISSING</x:v>
      </x:c>
      <x:c r="G16" s="26" t="str"/>
      <x:c r="H16" s="26" t="str">
        <x:v>No</x:v>
      </x:c>
      <x:c r="I16" s="26" t="str">
        <x:v>Not found</x:v>
      </x:c>
      <x:c r="J16" s="26" t="str">
        <x:v>Needed for founder campaign, GBP and website.</x:v>
      </x:c>
    </x:row>
    <x:row r="17" ht="21.600000381469727" hidden="0" customHeight="1">
      <x:c r="A17" s="26" t="str">
        <x:v>AST-013</x:v>
      </x:c>
      <x:c r="B17" s="26" t="str">
        <x:v>Clinic interior/exterior photo set</x:v>
      </x:c>
      <x:c r="C17" s="26" t="str">
        <x:v>Clinic photos</x:v>
      </x:c>
      <x:c r="D17" s="26" t="str">
        <x:v>JPG/RAW</x:v>
      </x:c>
      <x:c r="E17" s="26" t="str">
        <x:v>MISSING</x:v>
      </x:c>
      <x:c r="F17" s="26" t="str">
        <x:v>MISSING</x:v>
      </x:c>
      <x:c r="G17" s="26" t="str"/>
      <x:c r="H17" s="26" t="str">
        <x:v>No</x:v>
      </x:c>
      <x:c r="I17" s="26" t="str">
        <x:v>Not found</x:v>
      </x:c>
      <x:c r="J17" s="26" t="str">
        <x:v>Need exterior, reception, consultation room, procedure room, equipment, parking/access.</x:v>
      </x:c>
    </x:row>
    <x:row r="18" ht="15" hidden="0" customHeight="1">
      <x:c r="A18" s="26" t="str">
        <x:v>AST-014</x:v>
      </x:c>
      <x:c r="B18" s="26" t="str">
        <x:v>Patient/model consent records</x:v>
      </x:c>
      <x:c r="C18" s="26" t="str">
        <x:v>Consent</x:v>
      </x:c>
      <x:c r="D18" s="26" t="str">
        <x:v>PDF/Form</x:v>
      </x:c>
      <x:c r="E18" s="26" t="str">
        <x:v>MISSING</x:v>
      </x:c>
      <x:c r="F18" s="26" t="str">
        <x:v>MISSING</x:v>
      </x:c>
      <x:c r="G18" s="26" t="str"/>
      <x:c r="H18" s="26" t="str">
        <x:v>No</x:v>
      </x:c>
      <x:c r="I18" s="26" t="str">
        <x:v>Not found</x:v>
      </x:c>
      <x:c r="J18" s="26" t="str">
        <x:v>Required before patient stories/photos/video.</x:v>
      </x:c>
    </x:row>
    <x:row r="19" ht="15" hidden="0" customHeight="1">
      <x:c r="A19" s="26" t="str">
        <x:v>AST-015</x:v>
      </x:c>
      <x:c r="B19" s="26" t="str">
        <x:v>Raw video footage</x:v>
      </x:c>
      <x:c r="C19" s="26" t="str">
        <x:v>Video</x:v>
      </x:c>
      <x:c r="D19" s="26" t="str">
        <x:v>MP4/MOV</x:v>
      </x:c>
      <x:c r="E19" s="26" t="str">
        <x:v>MISSING</x:v>
      </x:c>
      <x:c r="F19" s="26" t="str">
        <x:v>MISSING</x:v>
      </x:c>
      <x:c r="G19" s="26" t="str"/>
      <x:c r="H19" s="26" t="str">
        <x:v>No</x:v>
      </x:c>
      <x:c r="I19" s="26" t="str">
        <x:v>Not found</x:v>
      </x:c>
      <x:c r="J19" s="26" t="str">
        <x:v>Monday shoot and 15-video task remain open.</x:v>
      </x:c>
    </x:row>
    <x:row r="20" ht="15" hidden="0" customHeight="1">
      <x:c r="A20" s="26" t="str">
        <x:v>AST-016</x:v>
      </x:c>
      <x:c r="B20" s="26" t="str">
        <x:v>Edited videos / reel covers / thumbnails</x:v>
      </x:c>
      <x:c r="C20" s="26" t="str">
        <x:v>Video deliverables</x:v>
      </x:c>
      <x:c r="D20" s="26" t="str">
        <x:v>MP4/JPG/PNG</x:v>
      </x:c>
      <x:c r="E20" s="26" t="str">
        <x:v>MISSING</x:v>
      </x:c>
      <x:c r="F20" s="26" t="str">
        <x:v>MISSING</x:v>
      </x:c>
      <x:c r="G20" s="26" t="str"/>
      <x:c r="H20" s="26" t="str">
        <x:v>No</x:v>
      </x:c>
      <x:c r="I20" s="26" t="str">
        <x:v>Not found</x:v>
      </x:c>
      <x:c r="J20" s="26" t="str">
        <x:v>No publication or approval register found.</x:v>
      </x:c>
    </x:row>
    <x:row r="21" ht="21.600000381469727" hidden="0" customHeight="1">
      <x:c r="A21" s="26" t="str">
        <x:v>AST-017</x:v>
      </x:c>
      <x:c r="B21" s="26" t="str">
        <x:v>Editable design source files</x:v>
      </x:c>
      <x:c r="C21" s="26" t="str">
        <x:v>Design source</x:v>
      </x:c>
      <x:c r="D21" s="26" t="str">
        <x:v>PSD/AI/CDR/Figma/Canva</x:v>
      </x:c>
      <x:c r="E21" s="26" t="str">
        <x:v>MISSING</x:v>
      </x:c>
      <x:c r="F21" s="26" t="str">
        <x:v>MISSING</x:v>
      </x:c>
      <x:c r="G21" s="26" t="str"/>
      <x:c r="H21" s="26" t="str">
        <x:v>No</x:v>
      </x:c>
      <x:c r="I21" s="26" t="str">
        <x:v>Not found</x:v>
      </x:c>
      <x:c r="J21" s="26" t="str">
        <x:v>Collect links/packages and ownership.</x:v>
      </x:c>
    </x:row>
    <x:row r="22" ht="21.600000381469727" hidden="0" customHeight="1">
      <x:c r="A22" s="26" t="str">
        <x:v>AST-018</x:v>
      </x:c>
      <x:c r="B22" s="26" t="str">
        <x:v>Video project files</x:v>
      </x:c>
      <x:c r="C22" s="26" t="str">
        <x:v>Edit source</x:v>
      </x:c>
      <x:c r="D22" s="26" t="str">
        <x:v>Premiere/After Effects</x:v>
      </x:c>
      <x:c r="E22" s="26" t="str">
        <x:v>MISSING</x:v>
      </x:c>
      <x:c r="F22" s="26" t="str">
        <x:v>MISSING</x:v>
      </x:c>
      <x:c r="G22" s="26" t="str"/>
      <x:c r="H22" s="26" t="str">
        <x:v>No</x:v>
      </x:c>
      <x:c r="I22" s="26" t="str">
        <x:v>Not found</x:v>
      </x:c>
      <x:c r="J22" s="26" t="str">
        <x:v>No source projects accessible.</x:v>
      </x:c>
    </x:row>
    <x:row r="23" ht="15" hidden="0" customHeight="1">
      <x:c r="A23" s="26" t="str">
        <x:v>AST-019</x:v>
      </x:c>
      <x:c r="B23" s="26" t="str">
        <x:v>Stock-asset licences</x:v>
      </x:c>
      <x:c r="C23" s="26" t="str">
        <x:v>Licence</x:v>
      </x:c>
      <x:c r="D23" s="26" t="str">
        <x:v>PDF/Receipt</x:v>
      </x:c>
      <x:c r="E23" s="26" t="str">
        <x:v>MISSING</x:v>
      </x:c>
      <x:c r="F23" s="26" t="str">
        <x:v>MISSING</x:v>
      </x:c>
      <x:c r="G23" s="26" t="str"/>
      <x:c r="H23" s="26" t="str">
        <x:v>No</x:v>
      </x:c>
      <x:c r="I23" s="26" t="str">
        <x:v>Not found</x:v>
      </x:c>
      <x:c r="J23" s="26" t="str">
        <x:v>Required for any licensed stock.</x:v>
      </x:c>
    </x:row>
    <x:row r="24" ht="21.600000381469727" hidden="0" customHeight="1">
      <x:c r="A24" s="26" t="str">
        <x:v>AST-020</x:v>
      </x:c>
      <x:c r="B24" s="26" t="str">
        <x:v>Approved final social/GMB/ad creatives</x:v>
      </x:c>
      <x:c r="C24" s="26" t="str">
        <x:v>Final production assets</x:v>
      </x:c>
      <x:c r="D24" s="26" t="str">
        <x:v>JPG/PNG/PDF/MP4</x:v>
      </x:c>
      <x:c r="E24" s="26" t="str">
        <x:v>MISSING</x:v>
      </x:c>
      <x:c r="F24" s="26" t="str">
        <x:v>MISSING_APPROVAL_EVIDENCE</x:v>
      </x:c>
      <x:c r="G24" s="26" t="str">
        <x:v>None found</x:v>
      </x:c>
      <x:c r="H24" s="26" t="str">
        <x:v>No</x:v>
      </x:c>
      <x:c r="I24" s="26" t="str">
        <x:v>Audit</x:v>
      </x:c>
      <x:c r="J24" s="26" t="str">
        <x:v>Do not label any available design approved without written evidence.</x:v>
      </x:c>
    </x:row>
  </x:sheetData>
  <x:mergeCells>
    <x:mergeCell ref="A1:J1"/>
    <x:mergeCell ref="A2:J2"/>
  </x:mergeCells>
  <x:conditionalFormatting sqref="A5:J24">
    <x:cfRule type="expression" dxfId="1" priority="1">
      <x:formula>MOD(ROW(),2)=0</x:formula>
    </x:cfRule>
  </x:conditionalFormatting>
  <x:pageMargins left="0.7" right="0.7" top="0.75" bottom="0.75" header="0.3" footer="0.3"/>
  <x:tableParts count="1">
    <x:tablePart xmlns:r="http://schemas.openxmlformats.org/officeDocument/2006/relationships" r:id="Ra4a01145af624b86"/>
  </x:tableParts>
</x:worksheet>
</file>

<file path=xl/worksheets/sheet4.xml><?xml version="1.0" encoding="utf-8"?>
<x:worksheet xmlns:x="http://schemas.openxmlformats.org/spreadsheetml/2006/main">
  <x:sheetFormatPr defaultRowHeight="15"/>
  <x:cols>
    <x:col min="1" max="1" width="10" hidden="0" customWidth="1"/>
    <x:col min="2" max="2" width="15" hidden="0" customWidth="1"/>
    <x:col min="3" max="3" width="42" hidden="0" customWidth="1"/>
    <x:col min="4" max="4" width="22" hidden="0" customWidth="1"/>
    <x:col min="5" max="5" width="22" hidden="0" customWidth="1"/>
    <x:col min="6" max="6" width="20" hidden="0" customWidth="1"/>
    <x:col min="7" max="7" width="12" hidden="0" customWidth="1"/>
    <x:col min="8" max="8" width="16" hidden="0" customWidth="1"/>
    <x:col min="9" max="9" width="32" hidden="0" customWidth="1"/>
    <x:col min="10" max="10" width="50" hidden="0" customWidth="1"/>
  </x:cols>
  <x:sheetData>
    <x:row r="1" ht="19.200000762939453" hidden="0" customHeight="1">
      <x:c r="A1" s="5" t="str">
        <x:v>Content Idea Register</x:v>
      </x:c>
      <x:c r="B1" s="5"/>
      <x:c r="C1" s="5"/>
      <x:c r="D1" s="5"/>
      <x:c r="E1" s="5"/>
      <x:c r="F1" s="5"/>
      <x:c r="G1" s="5"/>
      <x:c r="H1" s="5"/>
      <x:c r="I1" s="5"/>
      <x:c r="J1" s="5"/>
    </x:row>
    <x:row r="2" ht="15" hidden="0" customHeight="1">
      <x:c r="A2" s="11" t="str">
        <x:v>Jeevisha Client Handover · Updated 2026-07-16 · statuses are evidence-based</x:v>
      </x:c>
      <x:c r="B2" s="11"/>
      <x:c r="C2" s="11"/>
      <x:c r="D2" s="11"/>
      <x:c r="E2" s="11"/>
      <x:c r="F2" s="11"/>
      <x:c r="G2" s="11"/>
      <x:c r="H2" s="11"/>
      <x:c r="I2" s="11"/>
      <x:c r="J2" s="11"/>
    </x:row>
    <x:row r="3"/>
    <x:row r="4" ht="15" hidden="0" customHeight="1">
      <x:c r="A4" s="18" t="str">
        <x:v>Idea_ID</x:v>
      </x:c>
      <x:c r="B4" s="18" t="str">
        <x:v>Category</x:v>
      </x:c>
      <x:c r="C4" s="18" t="str">
        <x:v>Title</x:v>
      </x:c>
      <x:c r="D4" s="18" t="str">
        <x:v>Format</x:v>
      </x:c>
      <x:c r="E4" s="18" t="str">
        <x:v>Pillar</x:v>
      </x:c>
      <x:c r="F4" s="18" t="str">
        <x:v>Audience</x:v>
      </x:c>
      <x:c r="G4" s="18" t="str">
        <x:v>Funnel</x:v>
      </x:c>
      <x:c r="H4" s="18" t="str">
        <x:v>Status</x:v>
      </x:c>
      <x:c r="I4" s="18" t="str">
        <x:v>Source</x:v>
      </x:c>
      <x:c r="J4" s="18" t="str">
        <x:v>Risk_or_Notes</x:v>
      </x:c>
    </x:row>
    <x:row r="5" ht="15" hidden="0" customHeight="1">
      <x:c r="A5" s="26" t="str">
        <x:v>IDEA-001</x:v>
      </x:c>
      <x:c r="B5" s="26" t="str">
        <x:v>Blogs</x:v>
      </x:c>
      <x:c r="C5" s="26" t="str">
        <x:v>Why Does My Knee Hurt When I Climb Stairs?</x:v>
      </x:c>
      <x:c r="D5" s="26" t="str">
        <x:v>Long-form blog</x:v>
      </x:c>
      <x:c r="E5" s="26" t="str">
        <x:v>Condition education</x:v>
      </x:c>
      <x:c r="F5" s="26" t="str"/>
      <x:c r="G5" s="26" t="str">
        <x:v>TOFU</x:v>
      </x:c>
      <x:c r="H5" s="26" t="str">
        <x:v>UNUSED</x:v>
      </x:c>
      <x:c r="I5" s="26" t="str">
        <x:v>Jeevisha Research.md §11</x:v>
      </x:c>
      <x:c r="J5" s="26" t="str"/>
    </x:row>
    <x:row r="6" ht="15" hidden="0" customHeight="1">
      <x:c r="A6" s="26" t="str">
        <x:v>IDEA-002</x:v>
      </x:c>
      <x:c r="B6" s="26" t="str">
        <x:v>Blogs</x:v>
      </x:c>
      <x:c r="C6" s="26" t="str">
        <x:v>5 Morning Habits That Make Back Pain Worse</x:v>
      </x:c>
      <x:c r="D6" s="26" t="str">
        <x:v>Long-form blog</x:v>
      </x:c>
      <x:c r="E6" s="26" t="str">
        <x:v>Condition education</x:v>
      </x:c>
      <x:c r="F6" s="26" t="str"/>
      <x:c r="G6" s="26" t="str">
        <x:v>TOFU</x:v>
      </x:c>
      <x:c r="H6" s="26" t="str">
        <x:v>UNUSED</x:v>
      </x:c>
      <x:c r="I6" s="26" t="str">
        <x:v>Jeevisha Research.md §11</x:v>
      </x:c>
      <x:c r="J6" s="26" t="str"/>
    </x:row>
    <x:row r="7" ht="15" hidden="0" customHeight="1">
      <x:c r="A7" s="26" t="str">
        <x:v>IDEA-003</x:v>
      </x:c>
      <x:c r="B7" s="26" t="str">
        <x:v>Blogs</x:v>
      </x:c>
      <x:c r="C7" s="26" t="str">
        <x:v>Is Your Desk Job Slowly Damaging Your Spine?</x:v>
      </x:c>
      <x:c r="D7" s="26" t="str">
        <x:v>Long-form blog</x:v>
      </x:c>
      <x:c r="E7" s="26" t="str">
        <x:v>Desk-job pain</x:v>
      </x:c>
      <x:c r="F7" s="26" t="str"/>
      <x:c r="G7" s="26" t="str">
        <x:v>TOFU</x:v>
      </x:c>
      <x:c r="H7" s="26" t="str">
        <x:v>UNUSED</x:v>
      </x:c>
      <x:c r="I7" s="26" t="str">
        <x:v>Jeevisha Research.md §11</x:v>
      </x:c>
      <x:c r="J7" s="26" t="str"/>
    </x:row>
    <x:row r="8" ht="15" hidden="0" customHeight="1">
      <x:c r="A8" s="26" t="str">
        <x:v>IDEA-004</x:v>
      </x:c>
      <x:c r="B8" s="26" t="str">
        <x:v>Blogs</x:v>
      </x:c>
      <x:c r="C8" s="26" t="str">
        <x:v>Understanding the Difference Between Muscle and Nerve Pain</x:v>
      </x:c>
      <x:c r="D8" s="26" t="str">
        <x:v>Long-form blog</x:v>
      </x:c>
      <x:c r="E8" s="26" t="str">
        <x:v>Condition education</x:v>
      </x:c>
      <x:c r="F8" s="26" t="str"/>
      <x:c r="G8" s="26" t="str">
        <x:v>TOFU</x:v>
      </x:c>
      <x:c r="H8" s="26" t="str">
        <x:v>UNUSED</x:v>
      </x:c>
      <x:c r="I8" s="26" t="str">
        <x:v>Jeevisha Research.md §11</x:v>
      </x:c>
      <x:c r="J8" s="26" t="str"/>
    </x:row>
    <x:row r="9" ht="15" hidden="0" customHeight="1">
      <x:c r="A9" s="26" t="str">
        <x:v>IDEA-005</x:v>
      </x:c>
      <x:c r="B9" s="26" t="str">
        <x:v>Blogs</x:v>
      </x:c>
      <x:c r="C9" s="26" t="str">
        <x:v>When Should You Worry About Neck Pain?</x:v>
      </x:c>
      <x:c r="D9" s="26" t="str">
        <x:v>Long-form blog</x:v>
      </x:c>
      <x:c r="E9" s="26" t="str">
        <x:v>Condition education</x:v>
      </x:c>
      <x:c r="F9" s="26" t="str"/>
      <x:c r="G9" s="26" t="str">
        <x:v>TOFU</x:v>
      </x:c>
      <x:c r="H9" s="26" t="str">
        <x:v>UNUSED</x:v>
      </x:c>
      <x:c r="I9" s="26" t="str">
        <x:v>Jeevisha Research.md §11</x:v>
      </x:c>
      <x:c r="J9" s="26" t="str"/>
    </x:row>
    <x:row r="10" ht="15" hidden="0" customHeight="1">
      <x:c r="A10" s="26" t="str">
        <x:v>IDEA-006</x:v>
      </x:c>
      <x:c r="B10" s="26" t="str">
        <x:v>Blogs</x:v>
      </x:c>
      <x:c r="C10" s="26" t="str">
        <x:v>PRP vs. Cortisone: Which Is Better for Knee Pain?</x:v>
      </x:c>
      <x:c r="D10" s="26" t="str">
        <x:v>Long-form blog</x:v>
      </x:c>
      <x:c r="E10" s="26" t="str">
        <x:v>Regenerative medicine</x:v>
      </x:c>
      <x:c r="F10" s="26" t="str"/>
      <x:c r="G10" s="26" t="str">
        <x:v>MOFU</x:v>
      </x:c>
      <x:c r="H10" s="26" t="str">
        <x:v>UNUSED</x:v>
      </x:c>
      <x:c r="I10" s="26" t="str">
        <x:v>Jeevisha Research.md §11</x:v>
      </x:c>
      <x:c r="J10" s="26" t="str"/>
    </x:row>
    <x:row r="11" ht="15" hidden="0" customHeight="1">
      <x:c r="A11" s="26" t="str">
        <x:v>IDEA-007</x:v>
      </x:c>
      <x:c r="B11" s="26" t="str">
        <x:v>Blogs</x:v>
      </x:c>
      <x:c r="C11" s="26" t="str">
        <x:v>Can a Slipped Disc Heal Without Surgery?</x:v>
      </x:c>
      <x:c r="D11" s="26" t="str">
        <x:v>Long-form blog</x:v>
      </x:c>
      <x:c r="E11" s="26" t="str">
        <x:v>Surgery avoidance</x:v>
      </x:c>
      <x:c r="F11" s="26" t="str"/>
      <x:c r="G11" s="26" t="str">
        <x:v>MOFU</x:v>
      </x:c>
      <x:c r="H11" s="26" t="str">
        <x:v>UNUSED</x:v>
      </x:c>
      <x:c r="I11" s="26" t="str">
        <x:v>Jeevisha Research.md §11</x:v>
      </x:c>
      <x:c r="J11" s="26" t="str"/>
    </x:row>
    <x:row r="12" ht="15" hidden="0" customHeight="1">
      <x:c r="A12" s="26" t="str">
        <x:v>IDEA-008</x:v>
      </x:c>
      <x:c r="B12" s="26" t="str">
        <x:v>Blogs</x:v>
      </x:c>
      <x:c r="C12" s="26" t="str">
        <x:v>5 Non-Surgical Alternatives to Knee Replacement</x:v>
      </x:c>
      <x:c r="D12" s="26" t="str">
        <x:v>Long-form blog</x:v>
      </x:c>
      <x:c r="E12" s="26" t="str">
        <x:v>Surgery avoidance</x:v>
      </x:c>
      <x:c r="F12" s="26" t="str"/>
      <x:c r="G12" s="26" t="str">
        <x:v>MOFU</x:v>
      </x:c>
      <x:c r="H12" s="26" t="str">
        <x:v>UNUSED</x:v>
      </x:c>
      <x:c r="I12" s="26" t="str">
        <x:v>Jeevisha Research.md §11</x:v>
      </x:c>
      <x:c r="J12" s="26" t="str"/>
    </x:row>
    <x:row r="13" ht="15" hidden="0" customHeight="1">
      <x:c r="A13" s="26" t="str">
        <x:v>IDEA-009</x:v>
      </x:c>
      <x:c r="B13" s="26" t="str">
        <x:v>Blogs</x:v>
      </x:c>
      <x:c r="C13" s="26" t="str">
        <x:v>What Is Radiofrequency Ablation? (Patient's Guide)</x:v>
      </x:c>
      <x:c r="D13" s="26" t="str">
        <x:v>Long-form blog</x:v>
      </x:c>
      <x:c r="E13" s="26" t="str">
        <x:v>Treatment explained</x:v>
      </x:c>
      <x:c r="F13" s="26" t="str"/>
      <x:c r="G13" s="26" t="str">
        <x:v>MOFU</x:v>
      </x:c>
      <x:c r="H13" s="26" t="str">
        <x:v>UNUSED</x:v>
      </x:c>
      <x:c r="I13" s="26" t="str">
        <x:v>Jeevisha Research.md §11</x:v>
      </x:c>
      <x:c r="J13" s="26" t="str"/>
    </x:row>
    <x:row r="14" ht="21.600000381469727" hidden="0" customHeight="1">
      <x:c r="A14" s="26" t="str">
        <x:v>IDEA-010</x:v>
      </x:c>
      <x:c r="B14" s="26" t="str">
        <x:v>Blogs</x:v>
      </x:c>
      <x:c r="C14" s="26" t="str">
        <x:v>How Long Does PRP Therapy Last?</x:v>
      </x:c>
      <x:c r="D14" s="26" t="str">
        <x:v>Long-form blog</x:v>
      </x:c>
      <x:c r="E14" s="26" t="str">
        <x:v>Regenerative medicine</x:v>
      </x:c>
      <x:c r="F14" s="26" t="str"/>
      <x:c r="G14" s="26" t="str">
        <x:v>MOFU</x:v>
      </x:c>
      <x:c r="H14" s="26" t="str">
        <x:v>UNUSED</x:v>
      </x:c>
      <x:c r="I14" s="26" t="str">
        <x:v>Jeevisha Research.md §11</x:v>
      </x:c>
      <x:c r="J14" s="26" t="str">
        <x:v>Doctor/client verification required for price, duration, insurance or protocol claims</x:v>
      </x:c>
    </x:row>
    <x:row r="15" ht="15" hidden="0" customHeight="1">
      <x:c r="A15" s="26" t="str">
        <x:v>IDEA-011</x:v>
      </x:c>
      <x:c r="B15" s="26" t="str">
        <x:v>Blogs</x:v>
      </x:c>
      <x:c r="C15" s="26" t="str">
        <x:v>Pain Specialist vs. Orthopedic Surgeon: Who Should You See?</x:v>
      </x:c>
      <x:c r="D15" s="26" t="str">
        <x:v>Long-form blog</x:v>
      </x:c>
      <x:c r="E15" s="26" t="str">
        <x:v>Specialist authority</x:v>
      </x:c>
      <x:c r="F15" s="26" t="str"/>
      <x:c r="G15" s="26" t="str">
        <x:v>MOFU</x:v>
      </x:c>
      <x:c r="H15" s="26" t="str">
        <x:v>UNUSED</x:v>
      </x:c>
      <x:c r="I15" s="26" t="str">
        <x:v>Jeevisha Research.md §11</x:v>
      </x:c>
      <x:c r="J15" s="26" t="str"/>
    </x:row>
    <x:row r="16" ht="21.600000381469727" hidden="0" customHeight="1">
      <x:c r="A16" s="26" t="str">
        <x:v>IDEA-012</x:v>
      </x:c>
      <x:c r="B16" s="26" t="str">
        <x:v>Blogs</x:v>
      </x:c>
      <x:c r="C16" s="26" t="str">
        <x:v>Interventional Pain Management vs. Surgery: A Complete Comparison</x:v>
      </x:c>
      <x:c r="D16" s="26" t="str">
        <x:v>Long-form blog</x:v>
      </x:c>
      <x:c r="E16" s="26" t="str">
        <x:v>Surgery avoidance</x:v>
      </x:c>
      <x:c r="F16" s="26" t="str"/>
      <x:c r="G16" s="26" t="str">
        <x:v>MOFU</x:v>
      </x:c>
      <x:c r="H16" s="26" t="str">
        <x:v>UNUSED</x:v>
      </x:c>
      <x:c r="I16" s="26" t="str">
        <x:v>Jeevisha Research.md §11</x:v>
      </x:c>
      <x:c r="J16" s="26" t="str"/>
    </x:row>
    <x:row r="17" ht="15" hidden="0" customHeight="1">
      <x:c r="A17" s="26" t="str">
        <x:v>IDEA-013</x:v>
      </x:c>
      <x:c r="B17" s="26" t="str">
        <x:v>Blogs</x:v>
      </x:c>
      <x:c r="C17" s="26" t="str">
        <x:v>Hyaluronic Acid vs. PRP for Knee Osteoarthritis</x:v>
      </x:c>
      <x:c r="D17" s="26" t="str">
        <x:v>Long-form blog</x:v>
      </x:c>
      <x:c r="E17" s="26" t="str">
        <x:v>Regenerative medicine</x:v>
      </x:c>
      <x:c r="F17" s="26" t="str"/>
      <x:c r="G17" s="26" t="str">
        <x:v>MOFU</x:v>
      </x:c>
      <x:c r="H17" s="26" t="str">
        <x:v>UNUSED</x:v>
      </x:c>
      <x:c r="I17" s="26" t="str">
        <x:v>Jeevisha Research.md §11</x:v>
      </x:c>
      <x:c r="J17" s="26" t="str"/>
    </x:row>
    <x:row r="18" ht="21.600000381469727" hidden="0" customHeight="1">
      <x:c r="A18" s="26" t="str">
        <x:v>IDEA-014</x:v>
      </x:c>
      <x:c r="B18" s="26" t="str">
        <x:v>Blogs</x:v>
      </x:c>
      <x:c r="C18" s="26" t="str">
        <x:v>PRP Therapy Cost in Pune: What You Need to Know</x:v>
      </x:c>
      <x:c r="D18" s="26" t="str">
        <x:v>Long-form blog</x:v>
      </x:c>
      <x:c r="E18" s="26" t="str">
        <x:v>Pricing transparency</x:v>
      </x:c>
      <x:c r="F18" s="26" t="str"/>
      <x:c r="G18" s="26" t="str">
        <x:v>MOFU/BOFU</x:v>
      </x:c>
      <x:c r="H18" s="26" t="str">
        <x:v>UNUSED</x:v>
      </x:c>
      <x:c r="I18" s="26" t="str">
        <x:v>Jeevisha Research.md §11</x:v>
      </x:c>
      <x:c r="J18" s="26" t="str">
        <x:v>Doctor/client verification required for price, duration, insurance or protocol claims</x:v>
      </x:c>
    </x:row>
    <x:row r="19" ht="21.600000381469727" hidden="0" customHeight="1">
      <x:c r="A19" s="26" t="str">
        <x:v>IDEA-015</x:v>
      </x:c>
      <x:c r="B19" s="26" t="str">
        <x:v>Blogs</x:v>
      </x:c>
      <x:c r="C19" s="26" t="str">
        <x:v>Why Non-Surgical Pain Treatment Costs Less Than You Think</x:v>
      </x:c>
      <x:c r="D19" s="26" t="str">
        <x:v>Long-form blog</x:v>
      </x:c>
      <x:c r="E19" s="26" t="str">
        <x:v>Pricing transparency</x:v>
      </x:c>
      <x:c r="F19" s="26" t="str"/>
      <x:c r="G19" s="26" t="str">
        <x:v>MOFU</x:v>
      </x:c>
      <x:c r="H19" s="26" t="str">
        <x:v>UNUSED</x:v>
      </x:c>
      <x:c r="I19" s="26" t="str">
        <x:v>Jeevisha Research.md §11</x:v>
      </x:c>
      <x:c r="J19" s="26" t="str">
        <x:v>Doctor/client verification required for price, duration, insurance or protocol claims</x:v>
      </x:c>
    </x:row>
    <x:row r="20" ht="15" hidden="0" customHeight="1">
      <x:c r="A20" s="26" t="str">
        <x:v>IDEA-016</x:v>
      </x:c>
      <x:c r="B20" s="26" t="str">
        <x:v>Blogs</x:v>
      </x:c>
      <x:c r="C20" s="26" t="str">
        <x:v>Best Walking Routes in Wakad for Knee Pain Recovery</x:v>
      </x:c>
      <x:c r="D20" s="26" t="str">
        <x:v>Long-form blog</x:v>
      </x:c>
      <x:c r="E20" s="26" t="str">
        <x:v>Local/community</x:v>
      </x:c>
      <x:c r="F20" s="26" t="str"/>
      <x:c r="G20" s="26" t="str">
        <x:v>TOFU</x:v>
      </x:c>
      <x:c r="H20" s="26" t="str">
        <x:v>UNUSED</x:v>
      </x:c>
      <x:c r="I20" s="26" t="str">
        <x:v>Jeevisha Research.md §11</x:v>
      </x:c>
      <x:c r="J20" s="26" t="str"/>
    </x:row>
    <x:row r="21" ht="21.600000381469727" hidden="0" customHeight="1">
      <x:c r="A21" s="26" t="str">
        <x:v>IDEA-017</x:v>
      </x:c>
      <x:c r="B21" s="26" t="str">
        <x:v>Blogs</x:v>
      </x:c>
      <x:c r="C21" s="26" t="str">
        <x:v>Why Hinjewadi IT Professionals Are Choosing Non-Surgical Back Pain Treatment</x:v>
      </x:c>
      <x:c r="D21" s="26" t="str">
        <x:v>Long-form blog</x:v>
      </x:c>
      <x:c r="E21" s="26" t="str">
        <x:v>Desk-job pain</x:v>
      </x:c>
      <x:c r="F21" s="26" t="str"/>
      <x:c r="G21" s="26" t="str">
        <x:v>MOFU</x:v>
      </x:c>
      <x:c r="H21" s="26" t="str">
        <x:v>UNUSED</x:v>
      </x:c>
      <x:c r="I21" s="26" t="str">
        <x:v>Jeevisha Research.md §11</x:v>
      </x:c>
      <x:c r="J21" s="26" t="str"/>
    </x:row>
    <x:row r="22" ht="21.600000381469727" hidden="0" customHeight="1">
      <x:c r="A22" s="26" t="str">
        <x:v>IDEA-018</x:v>
      </x:c>
      <x:c r="B22" s="26" t="str">
        <x:v>Blogs</x:v>
      </x:c>
      <x:c r="C22" s="26" t="str">
        <x:v>Is PRP Covered by Insurance in India?</x:v>
      </x:c>
      <x:c r="D22" s="26" t="str">
        <x:v>Long-form blog</x:v>
      </x:c>
      <x:c r="E22" s="26" t="str">
        <x:v>Pricing/insurance</x:v>
      </x:c>
      <x:c r="F22" s="26" t="str"/>
      <x:c r="G22" s="26" t="str">
        <x:v>MOFU</x:v>
      </x:c>
      <x:c r="H22" s="26" t="str">
        <x:v>UNUSED</x:v>
      </x:c>
      <x:c r="I22" s="26" t="str">
        <x:v>Jeevisha Research.md §11</x:v>
      </x:c>
      <x:c r="J22" s="26" t="str">
        <x:v>Doctor/client verification required for price, duration, insurance or protocol claims</x:v>
      </x:c>
    </x:row>
    <x:row r="23" ht="21.600000381469727" hidden="0" customHeight="1">
      <x:c r="A23" s="26" t="str">
        <x:v>IDEA-019</x:v>
      </x:c>
      <x:c r="B23" s="26" t="str">
        <x:v>Blogs</x:v>
      </x:c>
      <x:c r="C23" s="26" t="str">
        <x:v>How Many PRP Injections Do I Need for Knee Pain?</x:v>
      </x:c>
      <x:c r="D23" s="26" t="str">
        <x:v>Long-form blog</x:v>
      </x:c>
      <x:c r="E23" s="26" t="str">
        <x:v>Regenerative medicine</x:v>
      </x:c>
      <x:c r="F23" s="26" t="str"/>
      <x:c r="G23" s="26" t="str">
        <x:v>MOFU</x:v>
      </x:c>
      <x:c r="H23" s="26" t="str">
        <x:v>UNUSED</x:v>
      </x:c>
      <x:c r="I23" s="26" t="str">
        <x:v>Jeevisha Research.md §11</x:v>
      </x:c>
      <x:c r="J23" s="26" t="str">
        <x:v>Doctor/client verification required for price, duration, insurance or protocol claims</x:v>
      </x:c>
    </x:row>
    <x:row r="24" ht="15" hidden="0" customHeight="1">
      <x:c r="A24" s="26" t="str">
        <x:v>IDEA-020</x:v>
      </x:c>
      <x:c r="B24" s="26" t="str">
        <x:v>Blogs</x:v>
      </x:c>
      <x:c r="C24" s="26" t="str">
        <x:v>Latest Research on Regenerative Medicine for Chronic Pain (2026)</x:v>
      </x:c>
      <x:c r="D24" s="26" t="str">
        <x:v>Long-form blog</x:v>
      </x:c>
      <x:c r="E24" s="26" t="str">
        <x:v>Authority/research</x:v>
      </x:c>
      <x:c r="F24" s="26" t="str"/>
      <x:c r="G24" s="26" t="str">
        <x:v>MOFU</x:v>
      </x:c>
      <x:c r="H24" s="26" t="str">
        <x:v>UNUSED</x:v>
      </x:c>
      <x:c r="I24" s="26" t="str">
        <x:v>Jeevisha Research.md §11</x:v>
      </x:c>
      <x:c r="J24" s="26" t="str"/>
    </x:row>
    <x:row r="25" ht="15" hidden="0" customHeight="1">
      <x:c r="A25" s="26" t="str">
        <x:v>IDEA-021</x:v>
      </x:c>
      <x:c r="B25" s="26" t="str">
        <x:v>Blogs</x:v>
      </x:c>
      <x:c r="C25" s="26" t="str">
        <x:v>Why India Needs to Treat Chronic Pain as a Disease, Not a Symptom</x:v>
      </x:c>
      <x:c r="D25" s="26" t="str">
        <x:v>Long-form blog</x:v>
      </x:c>
      <x:c r="E25" s="26" t="str">
        <x:v>Authority/awareness</x:v>
      </x:c>
      <x:c r="F25" s="26" t="str"/>
      <x:c r="G25" s="26" t="str">
        <x:v>TOFU</x:v>
      </x:c>
      <x:c r="H25" s="26" t="str">
        <x:v>UNUSED</x:v>
      </x:c>
      <x:c r="I25" s="26" t="str">
        <x:v>Jeevisha Research.md §11</x:v>
      </x:c>
      <x:c r="J25" s="26" t="str"/>
    </x:row>
    <x:row r="26" ht="15" hidden="0" customHeight="1">
      <x:c r="A26" s="26" t="str">
        <x:v>IDEA-022</x:v>
      </x:c>
      <x:c r="B26" s="26" t="str">
        <x:v>Blogs</x:v>
      </x:c>
      <x:c r="C26" s="26" t="str">
        <x:v>How to Avoid Knee Replacement Surgery</x:v>
      </x:c>
      <x:c r="D26" s="26" t="str">
        <x:v>Long-form blog</x:v>
      </x:c>
      <x:c r="E26" s="26" t="str">
        <x:v>Surgery avoidance</x:v>
      </x:c>
      <x:c r="F26" s="26" t="str"/>
      <x:c r="G26" s="26" t="str">
        <x:v>MOFU</x:v>
      </x:c>
      <x:c r="H26" s="26" t="str">
        <x:v>UNUSED</x:v>
      </x:c>
      <x:c r="I26" s="26" t="str">
        <x:v>seo-foundation.md §§3–4</x:v>
      </x:c>
      <x:c r="J26" s="26" t="str">
        <x:v>Doctor review required for treatment, safety, price or candidacy claims</x:v>
      </x:c>
    </x:row>
    <x:row r="27" ht="15" hidden="0" customHeight="1">
      <x:c r="A27" s="26" t="str">
        <x:v>IDEA-023</x:v>
      </x:c>
      <x:c r="B27" s="26" t="str">
        <x:v>Blogs</x:v>
      </x:c>
      <x:c r="C27" s="26" t="str">
        <x:v>How to Avoid Spine Surgery: Options to Discuss First</x:v>
      </x:c>
      <x:c r="D27" s="26" t="str">
        <x:v>Long-form blog</x:v>
      </x:c>
      <x:c r="E27" s="26" t="str">
        <x:v>Surgery avoidance</x:v>
      </x:c>
      <x:c r="F27" s="26" t="str"/>
      <x:c r="G27" s="26" t="str">
        <x:v>MOFU</x:v>
      </x:c>
      <x:c r="H27" s="26" t="str">
        <x:v>UNUSED</x:v>
      </x:c>
      <x:c r="I27" s="26" t="str">
        <x:v>seo-foundation.md §§3–4</x:v>
      </x:c>
      <x:c r="J27" s="26" t="str">
        <x:v>Doctor review required for treatment, safety, price or candidacy claims</x:v>
      </x:c>
    </x:row>
    <x:row r="28" ht="15" hidden="0" customHeight="1">
      <x:c r="A28" s="26" t="str">
        <x:v>IDEA-024</x:v>
      </x:c>
      <x:c r="B28" s="26" t="str">
        <x:v>Blogs</x:v>
      </x:c>
      <x:c r="C28" s="26" t="str">
        <x:v>Sciatica Treatment Options: What Changes by Diagnosis</x:v>
      </x:c>
      <x:c r="D28" s="26" t="str">
        <x:v>Long-form blog</x:v>
      </x:c>
      <x:c r="E28" s="26" t="str">
        <x:v>Condition education</x:v>
      </x:c>
      <x:c r="F28" s="26" t="str"/>
      <x:c r="G28" s="26" t="str">
        <x:v>MOFU</x:v>
      </x:c>
      <x:c r="H28" s="26" t="str">
        <x:v>UNUSED</x:v>
      </x:c>
      <x:c r="I28" s="26" t="str">
        <x:v>seo-foundation.md §§3–4</x:v>
      </x:c>
      <x:c r="J28" s="26" t="str"/>
    </x:row>
    <x:row r="29" ht="15" hidden="0" customHeight="1">
      <x:c r="A29" s="26" t="str">
        <x:v>IDEA-025</x:v>
      </x:c>
      <x:c r="B29" s="26" t="str">
        <x:v>Blogs</x:v>
      </x:c>
      <x:c r="C29" s="26" t="str">
        <x:v>What Your MRI Report Actually Says</x:v>
      </x:c>
      <x:c r="D29" s="26" t="str">
        <x:v>Long-form blog</x:v>
      </x:c>
      <x:c r="E29" s="26" t="str">
        <x:v>Diagnostic clarity</x:v>
      </x:c>
      <x:c r="F29" s="26" t="str"/>
      <x:c r="G29" s="26" t="str">
        <x:v>TOFU/MOFU</x:v>
      </x:c>
      <x:c r="H29" s="26" t="str">
        <x:v>UNUSED</x:v>
      </x:c>
      <x:c r="I29" s="26" t="str">
        <x:v>seo-foundation.md §§3–4</x:v>
      </x:c>
      <x:c r="J29" s="26" t="str"/>
    </x:row>
    <x:row r="30" ht="15" hidden="0" customHeight="1">
      <x:c r="A30" s="26" t="str">
        <x:v>IDEA-026</x:v>
      </x:c>
      <x:c r="B30" s="26" t="str">
        <x:v>Blogs</x:v>
      </x:c>
      <x:c r="C30" s="26" t="str">
        <x:v>How to Get a Second Opinion Before Surgery</x:v>
      </x:c>
      <x:c r="D30" s="26" t="str">
        <x:v>Long-form blog</x:v>
      </x:c>
      <x:c r="E30" s="26" t="str">
        <x:v>Surgery avoidance</x:v>
      </x:c>
      <x:c r="F30" s="26" t="str"/>
      <x:c r="G30" s="26" t="str">
        <x:v>MOFU/BOFU</x:v>
      </x:c>
      <x:c r="H30" s="26" t="str">
        <x:v>UNUSED</x:v>
      </x:c>
      <x:c r="I30" s="26" t="str">
        <x:v>seo-foundation.md §§3–4</x:v>
      </x:c>
      <x:c r="J30" s="26" t="str">
        <x:v>Doctor review required for treatment, safety, price or candidacy claims</x:v>
      </x:c>
    </x:row>
    <x:row r="31" ht="15" hidden="0" customHeight="1">
      <x:c r="A31" s="26" t="str">
        <x:v>IDEA-027</x:v>
      </x:c>
      <x:c r="B31" s="26" t="str">
        <x:v>Blogs</x:v>
      </x:c>
      <x:c r="C31" s="26" t="str">
        <x:v>Questions to Ask Before Knee Replacement</x:v>
      </x:c>
      <x:c r="D31" s="26" t="str">
        <x:v>Long-form blog</x:v>
      </x:c>
      <x:c r="E31" s="26" t="str">
        <x:v>Surgery avoidance</x:v>
      </x:c>
      <x:c r="F31" s="26" t="str"/>
      <x:c r="G31" s="26" t="str">
        <x:v>MOFU</x:v>
      </x:c>
      <x:c r="H31" s="26" t="str">
        <x:v>UNUSED</x:v>
      </x:c>
      <x:c r="I31" s="26" t="str">
        <x:v>seo-foundation.md §§3–4</x:v>
      </x:c>
      <x:c r="J31" s="26" t="str"/>
    </x:row>
    <x:row r="32" ht="15" hidden="0" customHeight="1">
      <x:c r="A32" s="26" t="str">
        <x:v>IDEA-028</x:v>
      </x:c>
      <x:c r="B32" s="26" t="str">
        <x:v>Blogs</x:v>
      </x:c>
      <x:c r="C32" s="26" t="str">
        <x:v>When Is Surgery Actually Necessary?</x:v>
      </x:c>
      <x:c r="D32" s="26" t="str">
        <x:v>Long-form blog</x:v>
      </x:c>
      <x:c r="E32" s="26" t="str">
        <x:v>Collaborative honesty</x:v>
      </x:c>
      <x:c r="F32" s="26" t="str"/>
      <x:c r="G32" s="26" t="str">
        <x:v>MOFU</x:v>
      </x:c>
      <x:c r="H32" s="26" t="str">
        <x:v>UNUSED</x:v>
      </x:c>
      <x:c r="I32" s="26" t="str">
        <x:v>seo-foundation.md §§3–4</x:v>
      </x:c>
      <x:c r="J32" s="26" t="str">
        <x:v>Doctor review required for treatment, safety, price or candidacy claims</x:v>
      </x:c>
    </x:row>
    <x:row r="33" ht="32.400001525878906" hidden="0" customHeight="1">
      <x:c r="A33" s="26" t="str">
        <x:v>IDEA-029</x:v>
      </x:c>
      <x:c r="B33" s="26" t="str">
        <x:v>Blogs</x:v>
      </x:c>
      <x:c r="C33" s="26" t="str">
        <x:v>Non-Surgical Options for Slipped Disc</x:v>
      </x:c>
      <x:c r="D33" s="26" t="str">
        <x:v>Long-form blog</x:v>
      </x:c>
      <x:c r="E33" s="26" t="str">
        <x:v>Surgery avoidance</x:v>
      </x:c>
      <x:c r="F33" s="26" t="str"/>
      <x:c r="G33" s="26" t="str">
        <x:v>MOFU</x:v>
      </x:c>
      <x:c r="H33" s="26" t="str">
        <x:v>DUPLICATE</x:v>
      </x:c>
      <x:c r="I33" s="26" t="str">
        <x:v>seo-foundation.md §§3–4</x:v>
      </x:c>
      <x:c r="J33" s="26" t="str">
        <x:v>Doctor review required for treatment, safety, price or candidacy claims; Near-duplicate of another extracted idea; preserve but consolidate during planning.</x:v>
      </x:c>
    </x:row>
    <x:row r="34" ht="15" hidden="0" customHeight="1">
      <x:c r="A34" s="26" t="str">
        <x:v>IDEA-030</x:v>
      </x:c>
      <x:c r="B34" s="26" t="str">
        <x:v>Blogs</x:v>
      </x:c>
      <x:c r="C34" s="26" t="str">
        <x:v>Knee Replacement vs PRP: Cost, Recovery and Candidacy</x:v>
      </x:c>
      <x:c r="D34" s="26" t="str">
        <x:v>Long-form blog</x:v>
      </x:c>
      <x:c r="E34" s="26" t="str">
        <x:v>Pricing transparency</x:v>
      </x:c>
      <x:c r="F34" s="26" t="str"/>
      <x:c r="G34" s="26" t="str">
        <x:v>MOFU</x:v>
      </x:c>
      <x:c r="H34" s="26" t="str">
        <x:v>UNUSED</x:v>
      </x:c>
      <x:c r="I34" s="26" t="str">
        <x:v>seo-foundation.md §§3–4</x:v>
      </x:c>
      <x:c r="J34" s="26" t="str">
        <x:v>Doctor review required for treatment, safety, price or candidacy claims</x:v>
      </x:c>
    </x:row>
    <x:row r="35" ht="15" hidden="0" customHeight="1">
      <x:c r="A35" s="26" t="str">
        <x:v>IDEA-031</x:v>
      </x:c>
      <x:c r="B35" s="26" t="str">
        <x:v>Blogs</x:v>
      </x:c>
      <x:c r="C35" s="26" t="str">
        <x:v>How PRP Actually Works</x:v>
      </x:c>
      <x:c r="D35" s="26" t="str">
        <x:v>Long-form blog</x:v>
      </x:c>
      <x:c r="E35" s="26" t="str">
        <x:v>Regenerative medicine</x:v>
      </x:c>
      <x:c r="F35" s="26" t="str"/>
      <x:c r="G35" s="26" t="str">
        <x:v>MOFU</x:v>
      </x:c>
      <x:c r="H35" s="26" t="str">
        <x:v>UNUSED</x:v>
      </x:c>
      <x:c r="I35" s="26" t="str">
        <x:v>seo-foundation.md §§3–4</x:v>
      </x:c>
      <x:c r="J35" s="26" t="str">
        <x:v>Doctor review required for treatment, safety, price or candidacy claims</x:v>
      </x:c>
    </x:row>
    <x:row r="36" ht="15" hidden="0" customHeight="1">
      <x:c r="A36" s="26" t="str">
        <x:v>IDEA-032</x:v>
      </x:c>
      <x:c r="B36" s="26" t="str">
        <x:v>Blogs</x:v>
      </x:c>
      <x:c r="C36" s="26" t="str">
        <x:v>Is Stem Cell Therapy Safe in India?</x:v>
      </x:c>
      <x:c r="D36" s="26" t="str">
        <x:v>Long-form blog</x:v>
      </x:c>
      <x:c r="E36" s="26" t="str">
        <x:v>Regenerative medicine</x:v>
      </x:c>
      <x:c r="F36" s="26" t="str"/>
      <x:c r="G36" s="26" t="str">
        <x:v>MOFU</x:v>
      </x:c>
      <x:c r="H36" s="26" t="str">
        <x:v>UNUSED</x:v>
      </x:c>
      <x:c r="I36" s="26" t="str">
        <x:v>seo-foundation.md §§3–4</x:v>
      </x:c>
      <x:c r="J36" s="26" t="str">
        <x:v>Doctor review required for treatment, safety, price or candidacy claims</x:v>
      </x:c>
    </x:row>
    <x:row r="37" ht="15" hidden="0" customHeight="1">
      <x:c r="A37" s="26" t="str">
        <x:v>IDEA-033</x:v>
      </x:c>
      <x:c r="B37" s="26" t="str">
        <x:v>Blogs</x:v>
      </x:c>
      <x:c r="C37" s="26" t="str">
        <x:v>Who Is a Good Candidate for PRP?</x:v>
      </x:c>
      <x:c r="D37" s="26" t="str">
        <x:v>Long-form blog</x:v>
      </x:c>
      <x:c r="E37" s="26" t="str">
        <x:v>Regenerative medicine</x:v>
      </x:c>
      <x:c r="F37" s="26" t="str"/>
      <x:c r="G37" s="26" t="str">
        <x:v>MOFU</x:v>
      </x:c>
      <x:c r="H37" s="26" t="str">
        <x:v>UNUSED</x:v>
      </x:c>
      <x:c r="I37" s="26" t="str">
        <x:v>seo-foundation.md §§3–4</x:v>
      </x:c>
      <x:c r="J37" s="26" t="str">
        <x:v>Doctor review required for treatment, safety, price or candidacy claims</x:v>
      </x:c>
    </x:row>
    <x:row r="38" ht="21.600000381469727" hidden="0" customHeight="1">
      <x:c r="A38" s="26" t="str">
        <x:v>IDEA-034</x:v>
      </x:c>
      <x:c r="B38" s="26" t="str">
        <x:v>Blogs</x:v>
      </x:c>
      <x:c r="C38" s="26" t="str">
        <x:v>Five Morning Habits That Worsen Back Pain</x:v>
      </x:c>
      <x:c r="D38" s="26" t="str">
        <x:v>Long-form blog</x:v>
      </x:c>
      <x:c r="E38" s="26" t="str">
        <x:v>Condition education</x:v>
      </x:c>
      <x:c r="F38" s="26" t="str"/>
      <x:c r="G38" s="26" t="str">
        <x:v>TOFU</x:v>
      </x:c>
      <x:c r="H38" s="26" t="str">
        <x:v>DUPLICATE</x:v>
      </x:c>
      <x:c r="I38" s="26" t="str">
        <x:v>seo-foundation.md §§3–4</x:v>
      </x:c>
      <x:c r="J38" s="26" t="str">
        <x:v>Near-duplicate of another extracted idea; preserve but consolidate during planning.</x:v>
      </x:c>
    </x:row>
    <x:row r="39" ht="21.600000381469727" hidden="0" customHeight="1">
      <x:c r="A39" s="26" t="str">
        <x:v>IDEA-035</x:v>
      </x:c>
      <x:c r="B39" s="26" t="str">
        <x:v>Blogs</x:v>
      </x:c>
      <x:c r="C39" s="26" t="str">
        <x:v>Desk Job Back Pain in Hinjewadi: A Practical Guide</x:v>
      </x:c>
      <x:c r="D39" s="26" t="str">
        <x:v>Long-form blog</x:v>
      </x:c>
      <x:c r="E39" s="26" t="str">
        <x:v>Desk-job pain</x:v>
      </x:c>
      <x:c r="F39" s="26" t="str"/>
      <x:c r="G39" s="26" t="str">
        <x:v>TOFU/MOFU</x:v>
      </x:c>
      <x:c r="H39" s="26" t="str">
        <x:v>DUPLICATE</x:v>
      </x:c>
      <x:c r="I39" s="26" t="str">
        <x:v>seo-foundation.md §§3–4</x:v>
      </x:c>
      <x:c r="J39" s="26" t="str">
        <x:v>Near-duplicate of another extracted idea; preserve but consolidate during planning.</x:v>
      </x:c>
    </x:row>
    <x:row r="40" ht="21.600000381469727" hidden="0" customHeight="1">
      <x:c r="A40" s="26" t="str">
        <x:v>IDEA-036</x:v>
      </x:c>
      <x:c r="B40" s="26" t="str">
        <x:v>Blogs</x:v>
      </x:c>
      <x:c r="C40" s="26" t="str">
        <x:v>Difference Between Muscle Pain and Nerve Pain</x:v>
      </x:c>
      <x:c r="D40" s="26" t="str">
        <x:v>Long-form blog</x:v>
      </x:c>
      <x:c r="E40" s="26" t="str">
        <x:v>Condition education</x:v>
      </x:c>
      <x:c r="F40" s="26" t="str"/>
      <x:c r="G40" s="26" t="str">
        <x:v>TOFU</x:v>
      </x:c>
      <x:c r="H40" s="26" t="str">
        <x:v>DUPLICATE</x:v>
      </x:c>
      <x:c r="I40" s="26" t="str">
        <x:v>seo-foundation.md §§3–4</x:v>
      </x:c>
      <x:c r="J40" s="26" t="str">
        <x:v>Near-duplicate of another extracted idea; preserve but consolidate during planning.</x:v>
      </x:c>
    </x:row>
    <x:row r="41" ht="15" hidden="0" customHeight="1">
      <x:c r="A41" s="26" t="str">
        <x:v>IDEA-037</x:v>
      </x:c>
      <x:c r="B41" s="26" t="str">
        <x:v>Blogs</x:v>
      </x:c>
      <x:c r="C41" s="26" t="str">
        <x:v>When Should Back Pain Be Evaluated by a Specialist?</x:v>
      </x:c>
      <x:c r="D41" s="26" t="str">
        <x:v>Long-form blog</x:v>
      </x:c>
      <x:c r="E41" s="26" t="str">
        <x:v>Condition education</x:v>
      </x:c>
      <x:c r="F41" s="26" t="str"/>
      <x:c r="G41" s="26" t="str">
        <x:v>TOFU/MOFU</x:v>
      </x:c>
      <x:c r="H41" s="26" t="str">
        <x:v>UNUSED</x:v>
      </x:c>
      <x:c r="I41" s="26" t="str">
        <x:v>seo-foundation.md §§3–4</x:v>
      </x:c>
      <x:c r="J41" s="26" t="str"/>
    </x:row>
    <x:row r="42" ht="21.600000381469727" hidden="0" customHeight="1">
      <x:c r="A42" s="26" t="str">
        <x:v>IDEA-038</x:v>
      </x:c>
      <x:c r="B42" s="26" t="str">
        <x:v>Blogs</x:v>
      </x:c>
      <x:c r="C42" s="26" t="str">
        <x:v>Alternatives to Knee Replacement: A Decision Guide</x:v>
      </x:c>
      <x:c r="D42" s="26" t="str">
        <x:v>Long-form blog</x:v>
      </x:c>
      <x:c r="E42" s="26" t="str">
        <x:v>Surgery avoidance</x:v>
      </x:c>
      <x:c r="F42" s="26" t="str"/>
      <x:c r="G42" s="26" t="str">
        <x:v>MOFU</x:v>
      </x:c>
      <x:c r="H42" s="26" t="str">
        <x:v>DUPLICATE</x:v>
      </x:c>
      <x:c r="I42" s="26" t="str">
        <x:v>seo-foundation.md §§3–4</x:v>
      </x:c>
      <x:c r="J42" s="26" t="str">
        <x:v>Near-duplicate of another extracted idea; preserve but consolidate during planning.</x:v>
      </x:c>
    </x:row>
    <x:row r="43" ht="15" hidden="0" customHeight="1">
      <x:c r="A43" s="26" t="str">
        <x:v>IDEA-039</x:v>
      </x:c>
      <x:c r="B43" s="26" t="str">
        <x:v>Blogs</x:v>
      </x:c>
      <x:c r="C43" s="26" t="str">
        <x:v>Second Opinion Before Spine Surgery in Pune</x:v>
      </x:c>
      <x:c r="D43" s="26" t="str">
        <x:v>Long-form blog</x:v>
      </x:c>
      <x:c r="E43" s="26" t="str">
        <x:v>Surgery avoidance</x:v>
      </x:c>
      <x:c r="F43" s="26" t="str"/>
      <x:c r="G43" s="26" t="str">
        <x:v>BOFU</x:v>
      </x:c>
      <x:c r="H43" s="26" t="str">
        <x:v>UNUSED</x:v>
      </x:c>
      <x:c r="I43" s="26" t="str">
        <x:v>seo-foundation.md §§3–4</x:v>
      </x:c>
      <x:c r="J43" s="26" t="str">
        <x:v>Doctor review required for treatment, safety, price or candidacy claims</x:v>
      </x:c>
    </x:row>
    <x:row r="44" ht="21.600000381469727" hidden="0" customHeight="1">
      <x:c r="A44" s="26" t="str">
        <x:v>IDEA-040</x:v>
      </x:c>
      <x:c r="B44" s="26" t="str">
        <x:v>Reels</x:v>
      </x:c>
      <x:c r="C44" s="26" t="str">
        <x:v>3 signs your back pain needs a specialist, not just rest</x:v>
      </x:c>
      <x:c r="D44" s="26" t="str">
        <x:v>Doctor-led reel</x:v>
      </x:c>
      <x:c r="E44" s="26" t="str">
        <x:v>Condition education</x:v>
      </x:c>
      <x:c r="F44" s="26" t="str"/>
      <x:c r="G44" s="26" t="str"/>
      <x:c r="H44" s="26" t="str">
        <x:v>UNUSED</x:v>
      </x:c>
      <x:c r="I44" s="26" t="str">
        <x:v>Jeevisha Research.md §11: 20 Social Post/Reel Ideas</x:v>
      </x:c>
      <x:c r="J44" s="26" t="str"/>
    </x:row>
    <x:row r="45" ht="21.600000381469727" hidden="0" customHeight="1">
      <x:c r="A45" s="26" t="str">
        <x:v>IDEA-041</x:v>
      </x:c>
      <x:c r="B45" s="26" t="str">
        <x:v>Carousels</x:v>
      </x:c>
      <x:c r="C45" s="26" t="str">
        <x:v>PRP vs. Cortisone — which one wins?</x:v>
      </x:c>
      <x:c r="D45" s="26" t="str">
        <x:v>Educational carousel</x:v>
      </x:c>
      <x:c r="E45" s="26" t="str">
        <x:v>Regenerative medicine</x:v>
      </x:c>
      <x:c r="F45" s="26" t="str"/>
      <x:c r="G45" s="26" t="str"/>
      <x:c r="H45" s="26" t="str">
        <x:v>UNUSED</x:v>
      </x:c>
      <x:c r="I45" s="26" t="str">
        <x:v>Jeevisha Research.md §11: 20 Social Post/Reel Ideas</x:v>
      </x:c>
      <x:c r="J45" s="26" t="str"/>
    </x:row>
    <x:row r="46" ht="21.600000381469727" hidden="0" customHeight="1">
      <x:c r="A46" s="26" t="str">
        <x:v>IDEA-042</x:v>
      </x:c>
      <x:c r="B46" s="26" t="str">
        <x:v>Video concepts</x:v>
      </x:c>
      <x:c r="C46" s="26" t="str">
        <x:v>Dr. Sanjog explains what happens during a knee PRP procedure</x:v>
      </x:c>
      <x:c r="D46" s="26" t="str">
        <x:v>Doctor-speaking video</x:v>
      </x:c>
      <x:c r="E46" s="26" t="str">
        <x:v>Treatment explained</x:v>
      </x:c>
      <x:c r="F46" s="26" t="str"/>
      <x:c r="G46" s="26" t="str"/>
      <x:c r="H46" s="26" t="str">
        <x:v>UNUSED</x:v>
      </x:c>
      <x:c r="I46" s="26" t="str">
        <x:v>Jeevisha Research.md §11: 20 Social Post/Reel Ideas</x:v>
      </x:c>
      <x:c r="J46" s="26" t="str"/>
    </x:row>
    <x:row r="47" ht="21.600000381469727" hidden="0" customHeight="1">
      <x:c r="A47" s="26" t="str">
        <x:v>IDEA-043</x:v>
      </x:c>
      <x:c r="B47" s="26" t="str">
        <x:v>Video concepts</x:v>
      </x:c>
      <x:c r="C47" s="26" t="str">
        <x:v>I walked 2 km after my injection — patient story</x:v>
      </x:c>
      <x:c r="D47" s="26" t="str">
        <x:v>Patient testimonial video</x:v>
      </x:c>
      <x:c r="E47" s="26" t="str">
        <x:v>Patient outcomes</x:v>
      </x:c>
      <x:c r="F47" s="26" t="str"/>
      <x:c r="G47" s="26" t="str"/>
      <x:c r="H47" s="26" t="str">
        <x:v>NEEDS_REVIEW</x:v>
      </x:c>
      <x:c r="I47" s="26" t="str">
        <x:v>Jeevisha Research.md §11: 20 Social Post/Reel Ideas</x:v>
      </x:c>
      <x:c r="J47" s="26" t="str">
        <x:v>Outcome, price or blanket medical claim requires evidence and doctor/client approval</x:v>
      </x:c>
    </x:row>
    <x:row r="48" ht="21.600000381469727" hidden="0" customHeight="1">
      <x:c r="A48" s="26" t="str">
        <x:v>IDEA-044</x:v>
      </x:c>
      <x:c r="B48" s="26" t="str">
        <x:v>Static posts</x:v>
      </x:c>
      <x:c r="C48" s="26" t="str">
        <x:v>Painkillers do not fix pain. They hide it.</x:v>
      </x:c>
      <x:c r="D48" s="26" t="str">
        <x:v>Myth-buster static</x:v>
      </x:c>
      <x:c r="E48" s="26" t="str">
        <x:v>Myth-busting</x:v>
      </x:c>
      <x:c r="F48" s="26" t="str"/>
      <x:c r="G48" s="26" t="str"/>
      <x:c r="H48" s="26" t="str">
        <x:v>NEEDS_REVIEW</x:v>
      </x:c>
      <x:c r="I48" s="26" t="str">
        <x:v>Jeevisha Research.md §11: 20 Social Post/Reel Ideas</x:v>
      </x:c>
      <x:c r="J48" s="26" t="str">
        <x:v>Outcome, price or blanket medical claim requires evidence and doctor/client approval</x:v>
      </x:c>
    </x:row>
    <x:row r="49" ht="21.600000381469727" hidden="0" customHeight="1">
      <x:c r="A49" s="26" t="str">
        <x:v>IDEA-045</x:v>
      </x:c>
      <x:c r="B49" s="26" t="str">
        <x:v>Stories</x:v>
      </x:c>
      <x:c r="C49" s="26" t="str">
        <x:v>Setting up the C-arm for a precision injection</x:v>
      </x:c>
      <x:c r="D49" s="26" t="str">
        <x:v>Behind-the-scenes story</x:v>
      </x:c>
      <x:c r="E49" s="26" t="str">
        <x:v>Trust-building</x:v>
      </x:c>
      <x:c r="F49" s="26" t="str"/>
      <x:c r="G49" s="26" t="str"/>
      <x:c r="H49" s="26" t="str">
        <x:v>UNUSED</x:v>
      </x:c>
      <x:c r="I49" s="26" t="str">
        <x:v>Jeevisha Research.md §11: 20 Social Post/Reel Ideas</x:v>
      </x:c>
      <x:c r="J49" s="26" t="str"/>
    </x:row>
    <x:row r="50" ht="21.600000381469727" hidden="0" customHeight="1">
      <x:c r="A50" s="26" t="str">
        <x:v>IDEA-046</x:v>
      </x:c>
      <x:c r="B50" s="26" t="str">
        <x:v>Reels</x:v>
      </x:c>
      <x:c r="C50" s="26" t="str">
        <x:v>Why your Hinjewadi desk job is hurting your back</x:v>
      </x:c>
      <x:c r="D50" s="26" t="str">
        <x:v>Local reel</x:v>
      </x:c>
      <x:c r="E50" s="26" t="str">
        <x:v>Desk-job pain</x:v>
      </x:c>
      <x:c r="F50" s="26" t="str"/>
      <x:c r="G50" s="26" t="str"/>
      <x:c r="H50" s="26" t="str">
        <x:v>UNUSED</x:v>
      </x:c>
      <x:c r="I50" s="26" t="str">
        <x:v>Jeevisha Research.md §11: 20 Social Post/Reel Ideas</x:v>
      </x:c>
      <x:c r="J50" s="26" t="str"/>
    </x:row>
    <x:row r="51" ht="21.600000381469727" hidden="0" customHeight="1">
      <x:c r="A51" s="26" t="str">
        <x:v>IDEA-047</x:v>
      </x:c>
      <x:c r="B51" s="26" t="str">
        <x:v>Carousels</x:v>
      </x:c>
      <x:c r="C51" s="26" t="str">
        <x:v>What your MRI report actually means</x:v>
      </x:c>
      <x:c r="D51" s="26" t="str">
        <x:v>Educational carousel</x:v>
      </x:c>
      <x:c r="E51" s="26" t="str">
        <x:v>Diagnostic clarity</x:v>
      </x:c>
      <x:c r="F51" s="26" t="str"/>
      <x:c r="G51" s="26" t="str"/>
      <x:c r="H51" s="26" t="str">
        <x:v>UNUSED</x:v>
      </x:c>
      <x:c r="I51" s="26" t="str">
        <x:v>Jeevisha Research.md §11: 20 Social Post/Reel Ideas</x:v>
      </x:c>
      <x:c r="J51" s="26" t="str"/>
    </x:row>
    <x:row r="52" ht="21.600000381469727" hidden="0" customHeight="1">
      <x:c r="A52" s="26" t="str">
        <x:v>IDEA-048</x:v>
      </x:c>
      <x:c r="B52" s="26" t="str">
        <x:v>Static posts</x:v>
      </x:c>
      <x:c r="C52" s="26" t="str">
        <x:v>Knee replacement vs PRP: cost and recovery comparison</x:v>
      </x:c>
      <x:c r="D52" s="26" t="str">
        <x:v>Comparison static</x:v>
      </x:c>
      <x:c r="E52" s="26" t="str">
        <x:v>Surgery avoidance</x:v>
      </x:c>
      <x:c r="F52" s="26" t="str"/>
      <x:c r="G52" s="26" t="str"/>
      <x:c r="H52" s="26" t="str">
        <x:v>NEEDS_REVIEW</x:v>
      </x:c>
      <x:c r="I52" s="26" t="str">
        <x:v>Jeevisha Research.md §11: 20 Social Post/Reel Ideas</x:v>
      </x:c>
      <x:c r="J52" s="26" t="str">
        <x:v>Outcome, price or blanket medical claim requires evidence and doctor/client approval</x:v>
      </x:c>
    </x:row>
    <x:row r="53" ht="21.600000381469727" hidden="0" customHeight="1">
      <x:c r="A53" s="26" t="str">
        <x:v>IDEA-049</x:v>
      </x:c>
      <x:c r="B53" s="26" t="str">
        <x:v>Static posts</x:v>
      </x:c>
      <x:c r="C53" s="26" t="str">
        <x:v>We do not just treat pain. We treat people. — Dr. Sanjog</x:v>
      </x:c>
      <x:c r="D53" s="26" t="str">
        <x:v>Founder quote card</x:v>
      </x:c>
      <x:c r="E53" s="26" t="str">
        <x:v>Founder authority</x:v>
      </x:c>
      <x:c r="F53" s="26" t="str"/>
      <x:c r="G53" s="26" t="str"/>
      <x:c r="H53" s="26" t="str">
        <x:v>UNUSED</x:v>
      </x:c>
      <x:c r="I53" s="26" t="str">
        <x:v>Jeevisha Research.md §11: 20 Social Post/Reel Ideas</x:v>
      </x:c>
      <x:c r="J53" s="26" t="str"/>
    </x:row>
    <x:row r="54" ht="21.600000381469727" hidden="0" customHeight="1">
      <x:c r="A54" s="26" t="str">
        <x:v>IDEA-050</x:v>
      </x:c>
      <x:c r="B54" s="26" t="str">
        <x:v>Reels</x:v>
      </x:c>
      <x:c r="C54" s="26" t="str">
        <x:v>Consultation → treatment → walking out time-lapse</x:v>
      </x:c>
      <x:c r="D54" s="26" t="str">
        <x:v>Process reel</x:v>
      </x:c>
      <x:c r="E54" s="26" t="str">
        <x:v>Patient journey</x:v>
      </x:c>
      <x:c r="F54" s="26" t="str"/>
      <x:c r="G54" s="26" t="str"/>
      <x:c r="H54" s="26" t="str">
        <x:v>UNUSED</x:v>
      </x:c>
      <x:c r="I54" s="26" t="str">
        <x:v>Jeevisha Research.md §11: 20 Social Post/Reel Ideas</x:v>
      </x:c>
      <x:c r="J54" s="26" t="str"/>
    </x:row>
    <x:row r="55" ht="21.600000381469727" hidden="0" customHeight="1">
      <x:c r="A55" s="26" t="str">
        <x:v>IDEA-051</x:v>
      </x:c>
      <x:c r="B55" s="26" t="str">
        <x:v>Stories</x:v>
      </x:c>
      <x:c r="C55" s="26" t="str">
        <x:v>Does PRP hurt? Here is the honest answer.</x:v>
      </x:c>
      <x:c r="D55" s="26" t="str">
        <x:v>FAQ story</x:v>
      </x:c>
      <x:c r="E55" s="26" t="str">
        <x:v>Regenerative medicine</x:v>
      </x:c>
      <x:c r="F55" s="26" t="str"/>
      <x:c r="G55" s="26" t="str"/>
      <x:c r="H55" s="26" t="str">
        <x:v>UNUSED</x:v>
      </x:c>
      <x:c r="I55" s="26" t="str">
        <x:v>Jeevisha Research.md §11: 20 Social Post/Reel Ideas</x:v>
      </x:c>
      <x:c r="J55" s="26" t="str"/>
    </x:row>
    <x:row r="56" ht="21.600000381469727" hidden="0" customHeight="1">
      <x:c r="A56" s="26" t="str">
        <x:v>IDEA-052</x:v>
      </x:c>
      <x:c r="B56" s="26" t="str">
        <x:v>Static posts</x:v>
      </x:c>
      <x:c r="C56" s="26" t="str">
        <x:v>Monsoon joint pain: why it happens and what to do</x:v>
      </x:c>
      <x:c r="D56" s="26" t="str">
        <x:v>Seasonal static</x:v>
      </x:c>
      <x:c r="E56" s="26" t="str">
        <x:v>Condition education</x:v>
      </x:c>
      <x:c r="F56" s="26" t="str"/>
      <x:c r="G56" s="26" t="str"/>
      <x:c r="H56" s="26" t="str">
        <x:v>UNUSED</x:v>
      </x:c>
      <x:c r="I56" s="26" t="str">
        <x:v>Jeevisha Research.md §11: 20 Social Post/Reel Ideas</x:v>
      </x:c>
      <x:c r="J56" s="26" t="str"/>
    </x:row>
    <x:row r="57" ht="21.600000381469727" hidden="0" customHeight="1">
      <x:c r="A57" s="26" t="str">
        <x:v>IDEA-053</x:v>
      </x:c>
      <x:c r="B57" s="26" t="str">
        <x:v>Stories</x:v>
      </x:c>
      <x:c r="C57" s="26" t="str">
        <x:v>Dr. Sanjog at a medical conference</x:v>
      </x:c>
      <x:c r="D57" s="26" t="str">
        <x:v>Authority story</x:v>
      </x:c>
      <x:c r="E57" s="26" t="str">
        <x:v>Founder authority</x:v>
      </x:c>
      <x:c r="F57" s="26" t="str"/>
      <x:c r="G57" s="26" t="str"/>
      <x:c r="H57" s="26" t="str">
        <x:v>UNUSED</x:v>
      </x:c>
      <x:c r="I57" s="26" t="str">
        <x:v>Jeevisha Research.md §11: 20 Social Post/Reel Ideas</x:v>
      </x:c>
      <x:c r="J57" s="26" t="str"/>
    </x:row>
    <x:row r="58" ht="21.600000381469727" hidden="0" customHeight="1">
      <x:c r="A58" s="26" t="str">
        <x:v>IDEA-054</x:v>
      </x:c>
      <x:c r="B58" s="26" t="str">
        <x:v>Stories</x:v>
      </x:c>
      <x:c r="C58" s="26" t="str">
        <x:v>Meet our sterilization protocol</x:v>
      </x:c>
      <x:c r="D58" s="26" t="str">
        <x:v>Trust story</x:v>
      </x:c>
      <x:c r="E58" s="26" t="str">
        <x:v>Trust-building</x:v>
      </x:c>
      <x:c r="F58" s="26" t="str"/>
      <x:c r="G58" s="26" t="str"/>
      <x:c r="H58" s="26" t="str">
        <x:v>UNUSED</x:v>
      </x:c>
      <x:c r="I58" s="26" t="str">
        <x:v>Jeevisha Research.md §11: 20 Social Post/Reel Ideas</x:v>
      </x:c>
      <x:c r="J58" s="26" t="str"/>
    </x:row>
    <x:row r="59" ht="21.600000381469727" hidden="0" customHeight="1">
      <x:c r="A59" s="26" t="str">
        <x:v>IDEA-055</x:v>
      </x:c>
      <x:c r="B59" s="26" t="str">
        <x:v>Campaigns</x:v>
      </x:c>
      <x:c r="C59" s="26" t="str">
        <x:v>Second opinion for surgery recommendations</x:v>
      </x:c>
      <x:c r="D59" s="26" t="str">
        <x:v>Offer/campaign concept</x:v>
      </x:c>
      <x:c r="E59" s="26" t="str">
        <x:v>Surgery avoidance</x:v>
      </x:c>
      <x:c r="F59" s="26" t="str"/>
      <x:c r="G59" s="26" t="str"/>
      <x:c r="H59" s="26" t="str">
        <x:v>UNUSED</x:v>
      </x:c>
      <x:c r="I59" s="26" t="str">
        <x:v>Jeevisha Research.md §11: 20 Social Post/Reel Ideas</x:v>
      </x:c>
      <x:c r="J59" s="26" t="str"/>
    </x:row>
    <x:row r="60" ht="21.600000381469727" hidden="0" customHeight="1">
      <x:c r="A60" s="26" t="str">
        <x:v>IDEA-056</x:v>
      </x:c>
      <x:c r="B60" s="26" t="str">
        <x:v>Video concepts</x:v>
      </x:c>
      <x:c r="C60" s="26" t="str">
        <x:v>From wheelchair to walking — patient journey concept</x:v>
      </x:c>
      <x:c r="D60" s="26" t="str">
        <x:v>Patient story video</x:v>
      </x:c>
      <x:c r="E60" s="26" t="str">
        <x:v>Patient outcomes</x:v>
      </x:c>
      <x:c r="F60" s="26" t="str"/>
      <x:c r="G60" s="26" t="str"/>
      <x:c r="H60" s="26" t="str">
        <x:v>NEEDS_REVIEW</x:v>
      </x:c>
      <x:c r="I60" s="26" t="str">
        <x:v>Jeevisha Research.md §11: 20 Social Post/Reel Ideas</x:v>
      </x:c>
      <x:c r="J60" s="26" t="str">
        <x:v>Outcome, price or blanket medical claim requires evidence and doctor/client approval</x:v>
      </x:c>
    </x:row>
    <x:row r="61" ht="21.600000381469727" hidden="0" customHeight="1">
      <x:c r="A61" s="26" t="str">
        <x:v>IDEA-057</x:v>
      </x:c>
      <x:c r="B61" s="26" t="str">
        <x:v>Static posts</x:v>
      </x:c>
      <x:c r="C61" s="26" t="str">
        <x:v>You are not too old for regenerative medicine</x:v>
      </x:c>
      <x:c r="D61" s="26" t="str">
        <x:v>Myth-buster static</x:v>
      </x:c>
      <x:c r="E61" s="26" t="str">
        <x:v>Regenerative medicine</x:v>
      </x:c>
      <x:c r="F61" s="26" t="str"/>
      <x:c r="G61" s="26" t="str"/>
      <x:c r="H61" s="26" t="str">
        <x:v>NEEDS_REVIEW</x:v>
      </x:c>
      <x:c r="I61" s="26" t="str">
        <x:v>Jeevisha Research.md §11: 20 Social Post/Reel Ideas</x:v>
      </x:c>
      <x:c r="J61" s="26" t="str">
        <x:v>Outcome, price or blanket medical claim requires evidence and doctor/client approval</x:v>
      </x:c>
    </x:row>
    <x:row r="62" ht="21.600000381469727" hidden="0" customHeight="1">
      <x:c r="A62" s="26" t="str">
        <x:v>IDEA-058</x:v>
      </x:c>
      <x:c r="B62" s="26" t="str">
        <x:v>Reels</x:v>
      </x:c>
      <x:c r="C62" s="26" t="str">
        <x:v>What is radiofrequency ablation? Explained in 60 seconds</x:v>
      </x:c>
      <x:c r="D62" s="26" t="str">
        <x:v>Doctor-led reel</x:v>
      </x:c>
      <x:c r="E62" s="26" t="str">
        <x:v>Treatment explained</x:v>
      </x:c>
      <x:c r="F62" s="26" t="str"/>
      <x:c r="G62" s="26" t="str"/>
      <x:c r="H62" s="26" t="str">
        <x:v>UNUSED</x:v>
      </x:c>
      <x:c r="I62" s="26" t="str">
        <x:v>Jeevisha Research.md §11: 20 Social Post/Reel Ideas</x:v>
      </x:c>
      <x:c r="J62" s="26" t="str"/>
    </x:row>
    <x:row r="63" ht="21.600000381469727" hidden="0" customHeight="1">
      <x:c r="A63" s="26" t="str">
        <x:v>IDEA-059</x:v>
      </x:c>
      <x:c r="B63" s="26" t="str">
        <x:v>Static posts</x:v>
      </x:c>
      <x:c r="C63" s="26" t="str">
        <x:v>Thank you, Wakad, for trusting us with your family’s health</x:v>
      </x:c>
      <x:c r="D63" s="26" t="str">
        <x:v>Community static</x:v>
      </x:c>
      <x:c r="E63" s="26" t="str">
        <x:v>Local/community</x:v>
      </x:c>
      <x:c r="F63" s="26" t="str"/>
      <x:c r="G63" s="26" t="str"/>
      <x:c r="H63" s="26" t="str">
        <x:v>UNUSED</x:v>
      </x:c>
      <x:c r="I63" s="26" t="str">
        <x:v>Jeevisha Research.md §11: 20 Social Post/Reel Ideas</x:v>
      </x:c>
      <x:c r="J63" s="26" t="str"/>
    </x:row>
    <x:row r="64" ht="15" hidden="0" customHeight="1">
      <x:c r="A64" s="26" t="str">
        <x:v>IDEA-060</x:v>
      </x:c>
      <x:c r="B64" s="26" t="str">
        <x:v>GMB</x:v>
      </x:c>
      <x:c r="C64" s="26" t="str">
        <x:v>Most knee pain has more options than you've been told.</x:v>
      </x:c>
      <x:c r="D64" s="26" t="str">
        <x:v>GBP Update</x:v>
      </x:c>
      <x:c r="E64" s="26" t="str">
        <x:v>Educational</x:v>
      </x:c>
      <x:c r="F64" s="26" t="str"/>
      <x:c r="G64" s="26" t="str">
        <x:v>MOFU/BOFU</x:v>
      </x:c>
      <x:c r="H64" s="26" t="str">
        <x:v>DRAFT</x:v>
      </x:c>
      <x:c r="I64" s="26" t="str">
        <x:v>jeevisha-gmb-foundation.md §9.3</x:v>
      </x:c>
      <x:c r="J64" s="26" t="str"/>
    </x:row>
    <x:row r="65" ht="15" hidden="0" customHeight="1">
      <x:c r="A65" s="26" t="str">
        <x:v>IDEA-061</x:v>
      </x:c>
      <x:c r="B65" s="26" t="str">
        <x:v>GMB</x:v>
      </x:c>
      <x:c r="C65" s="26" t="str">
        <x:v>Fellowship-trained. Patient-first. Quietly confident.</x:v>
      </x:c>
      <x:c r="D65" s="26" t="str">
        <x:v>GBP Update</x:v>
      </x:c>
      <x:c r="E65" s="26" t="str">
        <x:v>Trust-building</x:v>
      </x:c>
      <x:c r="F65" s="26" t="str"/>
      <x:c r="G65" s="26" t="str">
        <x:v>MOFU/BOFU</x:v>
      </x:c>
      <x:c r="H65" s="26" t="str">
        <x:v>DRAFT</x:v>
      </x:c>
      <x:c r="I65" s="26" t="str">
        <x:v>jeevisha-gmb-foundation.md §9.3</x:v>
      </x:c>
      <x:c r="J65" s="26" t="str"/>
    </x:row>
    <x:row r="66" ht="15" hidden="0" customHeight="1">
      <x:c r="A66" s="26" t="str">
        <x:v>IDEA-062</x:v>
      </x:c>
      <x:c r="B66" s="26" t="str">
        <x:v>GMB</x:v>
      </x:c>
      <x:c r="C66" s="26" t="str">
        <x:v>Surgery isn't always the answer. Sometimes, your body is.</x:v>
      </x:c>
      <x:c r="D66" s="26" t="str">
        <x:v>GBP Update</x:v>
      </x:c>
      <x:c r="E66" s="26" t="str">
        <x:v>Surgery avoidance</x:v>
      </x:c>
      <x:c r="F66" s="26" t="str"/>
      <x:c r="G66" s="26" t="str">
        <x:v>MOFU/BOFU</x:v>
      </x:c>
      <x:c r="H66" s="26" t="str">
        <x:v>DRAFT</x:v>
      </x:c>
      <x:c r="I66" s="26" t="str">
        <x:v>jeevisha-gmb-foundation.md §9.3</x:v>
      </x:c>
      <x:c r="J66" s="26" t="str"/>
    </x:row>
    <x:row r="67" ht="21.600000381469727" hidden="0" customHeight="1">
      <x:c r="A67" s="26" t="str">
        <x:v>IDEA-063</x:v>
      </x:c>
      <x:c r="B67" s="26" t="str">
        <x:v>GMB</x:v>
      </x:c>
      <x:c r="C67" s="26" t="str">
        <x:v>Returning to morning walks — Mrs. M's story.</x:v>
      </x:c>
      <x:c r="D67" s="26" t="str">
        <x:v>GBP Update</x:v>
      </x:c>
      <x:c r="E67" s="26" t="str">
        <x:v>Patient outcome (compliance-aware)</x:v>
      </x:c>
      <x:c r="F67" s="26" t="str"/>
      <x:c r="G67" s="26" t="str">
        <x:v>MOFU/BOFU</x:v>
      </x:c>
      <x:c r="H67" s="26" t="str">
        <x:v>NEEDS_REVIEW</x:v>
      </x:c>
      <x:c r="I67" s="26" t="str">
        <x:v>jeevisha-gmb-foundation.md §9.3</x:v>
      </x:c>
      <x:c r="J67" s="26" t="str">
        <x:v>Uses an unsupported/placeholder patient outcome; do not publish without consent and evidence</x:v>
      </x:c>
    </x:row>
    <x:row r="68" ht="15" hidden="0" customHeight="1">
      <x:c r="A68" s="26" t="str">
        <x:v>IDEA-064</x:v>
      </x:c>
      <x:c r="B68" s="26" t="str">
        <x:v>GMB</x:v>
      </x:c>
      <x:c r="C68" s="26" t="str">
        <x:v>5 signs your back pain needs a specialist.</x:v>
      </x:c>
      <x:c r="D68" s="26" t="str">
        <x:v>GBP Update</x:v>
      </x:c>
      <x:c r="E68" s="26" t="str">
        <x:v>Educational</x:v>
      </x:c>
      <x:c r="F68" s="26" t="str"/>
      <x:c r="G68" s="26" t="str">
        <x:v>MOFU/BOFU</x:v>
      </x:c>
      <x:c r="H68" s="26" t="str">
        <x:v>DRAFT</x:v>
      </x:c>
      <x:c r="I68" s="26" t="str">
        <x:v>jeevisha-gmb-foundation.md §9.3</x:v>
      </x:c>
      <x:c r="J68" s="26" t="str"/>
    </x:row>
    <x:row r="69" ht="15" hidden="0" customHeight="1">
      <x:c r="A69" s="26" t="str">
        <x:v>IDEA-065</x:v>
      </x:c>
      <x:c r="B69" s="26" t="str">
        <x:v>GMB</x:v>
      </x:c>
      <x:c r="C69" s="26" t="str">
        <x:v>Caring for Wakad. Caring for Hinjewadi. Caring for PCMC.</x:v>
      </x:c>
      <x:c r="D69" s="26" t="str">
        <x:v>GBP Update</x:v>
      </x:c>
      <x:c r="E69" s="26" t="str">
        <x:v>Local/Community</x:v>
      </x:c>
      <x:c r="F69" s="26" t="str"/>
      <x:c r="G69" s="26" t="str">
        <x:v>MOFU/BOFU</x:v>
      </x:c>
      <x:c r="H69" s="26" t="str">
        <x:v>DRAFT</x:v>
      </x:c>
      <x:c r="I69" s="26" t="str">
        <x:v>jeevisha-gmb-foundation.md §9.3</x:v>
      </x:c>
      <x:c r="J69" s="26" t="str"/>
    </x:row>
    <x:row r="70" ht="21.600000381469727" hidden="0" customHeight="1">
      <x:c r="A70" s="26" t="str">
        <x:v>IDEA-066</x:v>
      </x:c>
      <x:c r="B70" s="26" t="str">
        <x:v>GMB</x:v>
      </x:c>
      <x:c r="C70" s="26" t="str">
        <x:v>What is PRP therapy, really?</x:v>
      </x:c>
      <x:c r="D70" s="26" t="str">
        <x:v>GBP Product (use Product type for service deep-dives)</x:v>
      </x:c>
      <x:c r="E70" s="26" t="str">
        <x:v>Regenerative medicine education</x:v>
      </x:c>
      <x:c r="F70" s="26" t="str"/>
      <x:c r="G70" s="26" t="str">
        <x:v>MOFU/BOFU</x:v>
      </x:c>
      <x:c r="H70" s="26" t="str">
        <x:v>DRAFT</x:v>
      </x:c>
      <x:c r="I70" s="26" t="str">
        <x:v>jeevisha-gmb-foundation.md §9.3</x:v>
      </x:c>
      <x:c r="J70" s="26" t="str"/>
    </x:row>
    <x:row r="71" ht="15" hidden="0" customHeight="1">
      <x:c r="A71" s="26" t="str">
        <x:v>IDEA-067</x:v>
      </x:c>
      <x:c r="B71" s="26" t="str">
        <x:v>GMB</x:v>
      </x:c>
      <x:c r="C71" s="26" t="str">
        <x:v>How we work.</x:v>
      </x:c>
      <x:c r="D71" s="26" t="str">
        <x:v>GBP Update</x:v>
      </x:c>
      <x:c r="E71" s="26" t="str">
        <x:v>Trust-building</x:v>
      </x:c>
      <x:c r="F71" s="26" t="str"/>
      <x:c r="G71" s="26" t="str">
        <x:v>MOFU/BOFU</x:v>
      </x:c>
      <x:c r="H71" s="26" t="str">
        <x:v>DRAFT</x:v>
      </x:c>
      <x:c r="I71" s="26" t="str">
        <x:v>jeevisha-gmb-foundation.md §9.3</x:v>
      </x:c>
      <x:c r="J71" s="26" t="str"/>
    </x:row>
    <x:row r="72" ht="15" hidden="0" customHeight="1">
      <x:c r="A72" s="26" t="str">
        <x:v>IDEA-068</x:v>
      </x:c>
      <x:c r="B72" s="26" t="str">
        <x:v>GMB</x:v>
      </x:c>
      <x:c r="C72" s="26" t="str">
        <x:v>What conditions do you treat at Jeevisha?</x:v>
      </x:c>
      <x:c r="D72" s="26" t="str">
        <x:v>GBP Q&amp;A</x:v>
      </x:c>
      <x:c r="E72" s="26" t="str">
        <x:v>FAQ / trust</x:v>
      </x:c>
      <x:c r="F72" s="26" t="str"/>
      <x:c r="G72" s="26" t="str"/>
      <x:c r="H72" s="26" t="str">
        <x:v>DRAFT</x:v>
      </x:c>
      <x:c r="I72" s="26" t="str">
        <x:v>jeevisha-gmb-foundation.md §11.1</x:v>
      </x:c>
      <x:c r="J72" s="26" t="str"/>
    </x:row>
    <x:row r="73" ht="15" hidden="0" customHeight="1">
      <x:c r="A73" s="26" t="str">
        <x:v>IDEA-069</x:v>
      </x:c>
      <x:c r="B73" s="26" t="str">
        <x:v>GMB</x:v>
      </x:c>
      <x:c r="C73" s="26" t="str">
        <x:v>Does Jeevisha offer second opinions before surgery?</x:v>
      </x:c>
      <x:c r="D73" s="26" t="str">
        <x:v>GBP Q&amp;A</x:v>
      </x:c>
      <x:c r="E73" s="26" t="str">
        <x:v>FAQ / trust</x:v>
      </x:c>
      <x:c r="F73" s="26" t="str"/>
      <x:c r="G73" s="26" t="str"/>
      <x:c r="H73" s="26" t="str">
        <x:v>DRAFT</x:v>
      </x:c>
      <x:c r="I73" s="26" t="str">
        <x:v>jeevisha-gmb-foundation.md §11.1</x:v>
      </x:c>
      <x:c r="J73" s="26" t="str"/>
    </x:row>
    <x:row r="74" ht="15" hidden="0" customHeight="1">
      <x:c r="A74" s="26" t="str">
        <x:v>IDEA-070</x:v>
      </x:c>
      <x:c r="B74" s="26" t="str">
        <x:v>GMB</x:v>
      </x:c>
      <x:c r="C74" s="26" t="str">
        <x:v>What is PRP therapy and what does it treat?</x:v>
      </x:c>
      <x:c r="D74" s="26" t="str">
        <x:v>GBP Q&amp;A</x:v>
      </x:c>
      <x:c r="E74" s="26" t="str">
        <x:v>FAQ / trust</x:v>
      </x:c>
      <x:c r="F74" s="26" t="str"/>
      <x:c r="G74" s="26" t="str"/>
      <x:c r="H74" s="26" t="str">
        <x:v>DRAFT</x:v>
      </x:c>
      <x:c r="I74" s="26" t="str">
        <x:v>jeevisha-gmb-foundation.md §11.1</x:v>
      </x:c>
      <x:c r="J74" s="26" t="str">
        <x:v>Doctor/client verification required before publishing</x:v>
      </x:c>
    </x:row>
    <x:row r="75" ht="15" hidden="0" customHeight="1">
      <x:c r="A75" s="26" t="str">
        <x:v>IDEA-071</x:v>
      </x:c>
      <x:c r="B75" s="26" t="str">
        <x:v>GMB</x:v>
      </x:c>
      <x:c r="C75" s="26" t="str">
        <x:v>Is PRP covered by health insurance in India?</x:v>
      </x:c>
      <x:c r="D75" s="26" t="str">
        <x:v>GBP Q&amp;A</x:v>
      </x:c>
      <x:c r="E75" s="26" t="str">
        <x:v>FAQ / trust</x:v>
      </x:c>
      <x:c r="F75" s="26" t="str"/>
      <x:c r="G75" s="26" t="str"/>
      <x:c r="H75" s="26" t="str">
        <x:v>DRAFT</x:v>
      </x:c>
      <x:c r="I75" s="26" t="str">
        <x:v>jeevisha-gmb-foundation.md §11.1</x:v>
      </x:c>
      <x:c r="J75" s="26" t="str">
        <x:v>Doctor/client verification required before publishing</x:v>
      </x:c>
    </x:row>
    <x:row r="76" ht="15" hidden="0" customHeight="1">
      <x:c r="A76" s="26" t="str">
        <x:v>IDEA-072</x:v>
      </x:c>
      <x:c r="B76" s="26" t="str">
        <x:v>GMB</x:v>
      </x:c>
      <x:c r="C76" s="26" t="str">
        <x:v>How much does a consultation at Jeevisha cost?</x:v>
      </x:c>
      <x:c r="D76" s="26" t="str">
        <x:v>GBP Q&amp;A</x:v>
      </x:c>
      <x:c r="E76" s="26" t="str">
        <x:v>FAQ / trust</x:v>
      </x:c>
      <x:c r="F76" s="26" t="str"/>
      <x:c r="G76" s="26" t="str"/>
      <x:c r="H76" s="26" t="str">
        <x:v>DRAFT</x:v>
      </x:c>
      <x:c r="I76" s="26" t="str">
        <x:v>jeevisha-gmb-foundation.md §11.1</x:v>
      </x:c>
      <x:c r="J76" s="26" t="str"/>
    </x:row>
    <x:row r="77" ht="15" hidden="0" customHeight="1">
      <x:c r="A77" s="26" t="str">
        <x:v>IDEA-073</x:v>
      </x:c>
      <x:c r="B77" s="26" t="str">
        <x:v>GMB</x:v>
      </x:c>
      <x:c r="C77" s="26" t="str">
        <x:v>How long does PRP therapy last?</x:v>
      </x:c>
      <x:c r="D77" s="26" t="str">
        <x:v>GBP Q&amp;A</x:v>
      </x:c>
      <x:c r="E77" s="26" t="str">
        <x:v>FAQ / trust</x:v>
      </x:c>
      <x:c r="F77" s="26" t="str"/>
      <x:c r="G77" s="26" t="str"/>
      <x:c r="H77" s="26" t="str">
        <x:v>DRAFT</x:v>
      </x:c>
      <x:c r="I77" s="26" t="str">
        <x:v>jeevisha-gmb-foundation.md §11.1</x:v>
      </x:c>
      <x:c r="J77" s="26" t="str">
        <x:v>Doctor/client verification required before publishing</x:v>
      </x:c>
    </x:row>
    <x:row r="78" ht="15" hidden="0" customHeight="1">
      <x:c r="A78" s="26" t="str">
        <x:v>IDEA-074</x:v>
      </x:c>
      <x:c r="B78" s="26" t="str">
        <x:v>GMB</x:v>
      </x:c>
      <x:c r="C78" s="26" t="str">
        <x:v>Where is Jeevisha located?</x:v>
      </x:c>
      <x:c r="D78" s="26" t="str">
        <x:v>GBP Q&amp;A</x:v>
      </x:c>
      <x:c r="E78" s="26" t="str">
        <x:v>FAQ / trust</x:v>
      </x:c>
      <x:c r="F78" s="26" t="str"/>
      <x:c r="G78" s="26" t="str"/>
      <x:c r="H78" s="26" t="str">
        <x:v>DRAFT</x:v>
      </x:c>
      <x:c r="I78" s="26" t="str">
        <x:v>jeevisha-gmb-foundation.md §11.1</x:v>
      </x:c>
      <x:c r="J78" s="26" t="str"/>
    </x:row>
    <x:row r="79" ht="21.600000381469727" hidden="0" customHeight="1">
      <x:c r="A79" s="26" t="str">
        <x:v>IDEA-075</x:v>
      </x:c>
      <x:c r="B79" s="26" t="str">
        <x:v>GMB</x:v>
      </x:c>
      <x:c r="C79" s="26" t="str">
        <x:v>Do you provide treatment for chronic pain that hasn't responded to other treatments?</x:v>
      </x:c>
      <x:c r="D79" s="26" t="str">
        <x:v>GBP Q&amp;A</x:v>
      </x:c>
      <x:c r="E79" s="26" t="str">
        <x:v>FAQ / trust</x:v>
      </x:c>
      <x:c r="F79" s="26" t="str"/>
      <x:c r="G79" s="26" t="str"/>
      <x:c r="H79" s="26" t="str">
        <x:v>DRAFT</x:v>
      </x:c>
      <x:c r="I79" s="26" t="str">
        <x:v>jeevisha-gmb-foundation.md §11.1</x:v>
      </x:c>
      <x:c r="J79" s="26" t="str">
        <x:v>Doctor/client verification required before publishing</x:v>
      </x:c>
    </x:row>
    <x:row r="80" ht="15" hidden="0" customHeight="1">
      <x:c r="A80" s="26" t="str">
        <x:v>IDEA-076</x:v>
      </x:c>
      <x:c r="B80" s="26" t="str">
        <x:v>GMB</x:v>
      </x:c>
      <x:c r="C80" s="26" t="str">
        <x:v>Who is Dr. Sanjog Mekewar?</x:v>
      </x:c>
      <x:c r="D80" s="26" t="str">
        <x:v>GBP Q&amp;A</x:v>
      </x:c>
      <x:c r="E80" s="26" t="str">
        <x:v>FAQ / trust</x:v>
      </x:c>
      <x:c r="F80" s="26" t="str"/>
      <x:c r="G80" s="26" t="str"/>
      <x:c r="H80" s="26" t="str">
        <x:v>DRAFT</x:v>
      </x:c>
      <x:c r="I80" s="26" t="str">
        <x:v>jeevisha-gmb-foundation.md §11.1</x:v>
      </x:c>
      <x:c r="J80" s="26" t="str">
        <x:v>Doctor/client verification required before publishing</x:v>
      </x:c>
    </x:row>
    <x:row r="81" ht="15" hidden="0" customHeight="1">
      <x:c r="A81" s="26" t="str">
        <x:v>IDEA-077</x:v>
      </x:c>
      <x:c r="B81" s="26" t="str">
        <x:v>GMB</x:v>
      </x:c>
      <x:c r="C81" s="26" t="str">
        <x:v>Do you offer treatment in Marathi or Hindi?</x:v>
      </x:c>
      <x:c r="D81" s="26" t="str">
        <x:v>GBP Q&amp;A</x:v>
      </x:c>
      <x:c r="E81" s="26" t="str">
        <x:v>FAQ / trust</x:v>
      </x:c>
      <x:c r="F81" s="26" t="str"/>
      <x:c r="G81" s="26" t="str"/>
      <x:c r="H81" s="26" t="str">
        <x:v>DRAFT</x:v>
      </x:c>
      <x:c r="I81" s="26" t="str">
        <x:v>jeevisha-gmb-foundation.md §11.1</x:v>
      </x:c>
      <x:c r="J81" s="26" t="str">
        <x:v>Doctor/client verification required before publishing</x:v>
      </x:c>
    </x:row>
    <x:row r="82" ht="21.600000381469727" hidden="0" customHeight="1">
      <x:c r="A82" s="26" t="str">
        <x:v>IDEA-078</x:v>
      </x:c>
      <x:c r="B82" s="26" t="str">
        <x:v>Ads</x:v>
      </x:c>
      <x:c r="C82" s="26" t="str">
        <x:v>Meta — Knee pain problem-aware: If climbing stairs feels like climbing a mountain...</x:v>
      </x:c>
      <x:c r="D82" s="26" t="str">
        <x:v>Video testimonial + overlay</x:v>
      </x:c>
      <x:c r="E82" s="26" t="str">
        <x:v>Knee pain</x:v>
      </x:c>
      <x:c r="F82" s="26" t="str"/>
      <x:c r="G82" s="26" t="str">
        <x:v>MOFU</x:v>
      </x:c>
      <x:c r="H82" s="26" t="str">
        <x:v>NEEDS_REVIEW</x:v>
      </x:c>
      <x:c r="I82" s="26" t="str">
        <x:v>Jeevisha Research.md §12</x:v>
      </x:c>
      <x:c r="J82" s="26" t="str">
        <x:v>Claim/offer requiring evidence and approval: Avoid knee replacement with PRP</x:v>
      </x:c>
    </x:row>
    <x:row r="83" ht="21.600000381469727" hidden="0" customHeight="1">
      <x:c r="A83" s="26" t="str">
        <x:v>IDEA-079</x:v>
      </x:c>
      <x:c r="B83" s="26" t="str">
        <x:v>Ads</x:v>
      </x:c>
      <x:c r="C83" s="26" t="str">
        <x:v>Meta — Surgery second opinion: Your doctor said you need surgery. Get a second opinion first.</x:v>
      </x:c>
      <x:c r="D83" s="26" t="str">
        <x:v>Carousel ad</x:v>
      </x:c>
      <x:c r="E83" s="26" t="str">
        <x:v>Surgery avoidance</x:v>
      </x:c>
      <x:c r="F83" s="26" t="str"/>
      <x:c r="G83" s="26" t="str">
        <x:v>MOFU</x:v>
      </x:c>
      <x:c r="H83" s="26" t="str">
        <x:v>NEEDS_REVIEW</x:v>
      </x:c>
      <x:c r="I83" s="26" t="str">
        <x:v>Jeevisha Research.md §12</x:v>
      </x:c>
      <x:c r="J83" s="26" t="str">
        <x:v>Claim/offer requiring evidence and approval: 80% of patients avoid surgery</x:v>
      </x:c>
    </x:row>
    <x:row r="84" ht="21.600000381469727" hidden="0" customHeight="1">
      <x:c r="A84" s="26" t="str">
        <x:v>IDEA-080</x:v>
      </x:c>
      <x:c r="B84" s="26" t="str">
        <x:v>Ads</x:v>
      </x:c>
      <x:c r="C84" s="26" t="str">
        <x:v>Meta — Monsoon joint pain: Monsoon joint pain is real. And treatable.</x:v>
      </x:c>
      <x:c r="D84" s="26" t="str">
        <x:v>Image ad</x:v>
      </x:c>
      <x:c r="E84" s="26" t="str">
        <x:v>Seasonal</x:v>
      </x:c>
      <x:c r="F84" s="26" t="str"/>
      <x:c r="G84" s="26" t="str">
        <x:v>BOFU</x:v>
      </x:c>
      <x:c r="H84" s="26" t="str">
        <x:v>NEEDS_REVIEW</x:v>
      </x:c>
      <x:c r="I84" s="26" t="str">
        <x:v>Jeevisha Research.md §12</x:v>
      </x:c>
      <x:c r="J84" s="26" t="str">
        <x:v>Claim/offer requiring evidence and approval: 500+ patients treated this monsoon; same-week appointment</x:v>
      </x:c>
    </x:row>
    <x:row r="85" ht="21.600000381469727" hidden="0" customHeight="1">
      <x:c r="A85" s="26" t="str">
        <x:v>IDEA-081</x:v>
      </x:c>
      <x:c r="B85" s="26" t="str">
        <x:v>Ads</x:v>
      </x:c>
      <x:c r="C85" s="26" t="str">
        <x:v>Meta — Founder-led: Meet Dr. Sanjog — the doctor who believes surgery should be the last option.</x:v>
      </x:c>
      <x:c r="D85" s="26" t="str">
        <x:v>Founder video</x:v>
      </x:c>
      <x:c r="E85" s="26" t="str">
        <x:v>Founder authority</x:v>
      </x:c>
      <x:c r="F85" s="26" t="str"/>
      <x:c r="G85" s="26" t="str">
        <x:v>MOFU</x:v>
      </x:c>
      <x:c r="H85" s="26" t="str">
        <x:v>UNUSED</x:v>
      </x:c>
      <x:c r="I85" s="26" t="str">
        <x:v>Jeevisha Research.md §12</x:v>
      </x:c>
      <x:c r="J85" s="26" t="str">
        <x:v>Doctor/client approval required</x:v>
      </x:c>
    </x:row>
    <x:row r="86" ht="21.600000381469727" hidden="0" customHeight="1">
      <x:c r="A86" s="26" t="str">
        <x:v>IDEA-082</x:v>
      </x:c>
      <x:c r="B86" s="26" t="str">
        <x:v>Ads</x:v>
      </x:c>
      <x:c r="C86" s="26" t="str">
        <x:v>Google Search — Knee pain: Knee Pain Treatment Wakad / Non-Surgical PRP Therapy / Book Same-Week Appointment</x:v>
      </x:c>
      <x:c r="D86" s="26" t="str">
        <x:v>Search ad</x:v>
      </x:c>
      <x:c r="E86" s="26" t="str">
        <x:v>Knee pain</x:v>
      </x:c>
      <x:c r="F86" s="26" t="str"/>
      <x:c r="G86" s="26" t="str">
        <x:v>BOFU</x:v>
      </x:c>
      <x:c r="H86" s="26" t="str">
        <x:v>UNUSED</x:v>
      </x:c>
      <x:c r="I86" s="26" t="str">
        <x:v>Jeevisha Research.md §12</x:v>
      </x:c>
      <x:c r="J86" s="26" t="str">
        <x:v>Doctor/client approval required</x:v>
      </x:c>
    </x:row>
    <x:row r="87" ht="21.600000381469727" hidden="0" customHeight="1">
      <x:c r="A87" s="26" t="str">
        <x:v>IDEA-083</x:v>
      </x:c>
      <x:c r="B87" s="26" t="str">
        <x:v>Ads</x:v>
      </x:c>
      <x:c r="C87" s="26" t="str">
        <x:v>Google Search — Second opinion: Told You Need Surgery? / Get a Free Second Opinion / Non-Surgical Options Available</x:v>
      </x:c>
      <x:c r="D87" s="26" t="str">
        <x:v>Search ad</x:v>
      </x:c>
      <x:c r="E87" s="26" t="str">
        <x:v>Surgery avoidance</x:v>
      </x:c>
      <x:c r="F87" s="26" t="str"/>
      <x:c r="G87" s="26" t="str">
        <x:v>BOFU</x:v>
      </x:c>
      <x:c r="H87" s="26" t="str">
        <x:v>NEEDS_REVIEW</x:v>
      </x:c>
      <x:c r="I87" s="26" t="str">
        <x:v>Jeevisha Research.md §12</x:v>
      </x:c>
      <x:c r="J87" s="26" t="str">
        <x:v>Claim/offer requiring evidence and approval: 80% of patients find non-surgical relief</x:v>
      </x:c>
    </x:row>
    <x:row r="88" ht="21.600000381469727" hidden="0" customHeight="1">
      <x:c r="A88" s="26" t="str">
        <x:v>IDEA-084</x:v>
      </x:c>
      <x:c r="B88" s="26" t="str">
        <x:v>Ads</x:v>
      </x:c>
      <x:c r="C88" s="26" t="str">
        <x:v>Google Search — Near me: Pain Clinic Near Me Wakad / Same-Day Appointments / Call/WhatsApp Now</x:v>
      </x:c>
      <x:c r="D88" s="26" t="str">
        <x:v>Search ad</x:v>
      </x:c>
      <x:c r="E88" s="26" t="str">
        <x:v>Local</x:v>
      </x:c>
      <x:c r="F88" s="26" t="str"/>
      <x:c r="G88" s="26" t="str">
        <x:v>BOFU</x:v>
      </x:c>
      <x:c r="H88" s="26" t="str">
        <x:v>NEEDS_REVIEW</x:v>
      </x:c>
      <x:c r="I88" s="26" t="str">
        <x:v>Jeevisha Research.md §12</x:v>
      </x:c>
      <x:c r="J88" s="26" t="str">
        <x:v>Claim/offer requiring evidence and approval: Best pain management clinic; no surgery needed</x:v>
      </x:c>
    </x:row>
    <x:row r="89" ht="21.600000381469727" hidden="0" customHeight="1">
      <x:c r="A89" s="26" t="str">
        <x:v>IDEA-085</x:v>
      </x:c>
      <x:c r="B89" s="26" t="str">
        <x:v>Ads</x:v>
      </x:c>
      <x:c r="C89" s="26" t="str">
        <x:v>YouTube — PRP explainer: What if you could avoid knee surgery with a simple injection?</x:v>
      </x:c>
      <x:c r="D89" s="26" t="str">
        <x:v>30-second pre-roll</x:v>
      </x:c>
      <x:c r="E89" s="26" t="str">
        <x:v>Regenerative medicine</x:v>
      </x:c>
      <x:c r="F89" s="26" t="str"/>
      <x:c r="G89" s="26" t="str">
        <x:v>MOFU</x:v>
      </x:c>
      <x:c r="H89" s="26" t="str">
        <x:v>NEEDS_REVIEW</x:v>
      </x:c>
      <x:c r="I89" s="26" t="str">
        <x:v>Jeevisha Research.md §12</x:v>
      </x:c>
      <x:c r="J89" s="26" t="str">
        <x:v>Claim/offer requiring evidence and approval: Simple injection</x:v>
      </x:c>
    </x:row>
    <x:row r="90" ht="21.600000381469727" hidden="0" customHeight="1">
      <x:c r="A90" s="26" t="str">
        <x:v>IDEA-086</x:v>
      </x:c>
      <x:c r="B90" s="26" t="str">
        <x:v>Ads</x:v>
      </x:c>
      <x:c r="C90" s="26" t="str">
        <x:v>YouTube — Patient story: I was told I needed knee replacement at 58. Then I found Dr. Sanjog.</x:v>
      </x:c>
      <x:c r="D90" s="26" t="str">
        <x:v>45-second testimonial</x:v>
      </x:c>
      <x:c r="E90" s="26" t="str">
        <x:v>Patient outcomes</x:v>
      </x:c>
      <x:c r="F90" s="26" t="str"/>
      <x:c r="G90" s="26" t="str">
        <x:v>MOFU/BOFU</x:v>
      </x:c>
      <x:c r="H90" s="26" t="str">
        <x:v>NEEDS_REVIEW</x:v>
      </x:c>
      <x:c r="I90" s="26" t="str">
        <x:v>Jeevisha Research.md §12</x:v>
      </x:c>
      <x:c r="J90" s="26" t="str">
        <x:v>Claim/offer requiring evidence and approval: Patient outcome</x:v>
      </x:c>
    </x:row>
    <x:row r="91" ht="21.600000381469727" hidden="0" customHeight="1">
      <x:c r="A91" s="26" t="str">
        <x:v>IDEA-087</x:v>
      </x:c>
      <x:c r="B91" s="26" t="str">
        <x:v>Ads</x:v>
      </x:c>
      <x:c r="C91" s="26" t="str">
        <x:v>WhatsApp — Direct outreach: Free MRI review for patients considering knee surgery</x:v>
      </x:c>
      <x:c r="D91" s="26" t="str">
        <x:v>WhatsApp outreach</x:v>
      </x:c>
      <x:c r="E91" s="26" t="str">
        <x:v>Surgery avoidance</x:v>
      </x:c>
      <x:c r="F91" s="26" t="str"/>
      <x:c r="G91" s="26" t="str">
        <x:v>BOFU</x:v>
      </x:c>
      <x:c r="H91" s="26" t="str">
        <x:v>NEEDS_REVIEW</x:v>
      </x:c>
      <x:c r="I91" s="26" t="str">
        <x:v>Jeevisha Research.md §12</x:v>
      </x:c>
      <x:c r="J91" s="26" t="str">
        <x:v>Claim/offer requiring evidence and approval: Free MRI review</x:v>
      </x:c>
    </x:row>
    <x:row r="92" ht="21.600000381469727" hidden="0" customHeight="1">
      <x:c r="A92" s="26" t="str">
        <x:v>IDEA-088</x:v>
      </x:c>
      <x:c r="B92" s="26" t="str">
        <x:v>Ads</x:v>
      </x:c>
      <x:c r="C92" s="26" t="str">
        <x:v>WhatsApp — Nurture sequence: Welcome → education → testimonial → booking reminder</x:v>
      </x:c>
      <x:c r="D92" s="26" t="str">
        <x:v>14-day sequence</x:v>
      </x:c>
      <x:c r="E92" s="26" t="str">
        <x:v>Lead nurturing</x:v>
      </x:c>
      <x:c r="F92" s="26" t="str"/>
      <x:c r="G92" s="26" t="str">
        <x:v>MOFU/BOFU</x:v>
      </x:c>
      <x:c r="H92" s="26" t="str">
        <x:v>NEEDS_REVIEW</x:v>
      </x:c>
      <x:c r="I92" s="26" t="str">
        <x:v>Jeevisha Research.md §12</x:v>
      </x:c>
      <x:c r="J92" s="26" t="str">
        <x:v>Claim/offer requiring evidence and approval: Special offer</x:v>
      </x:c>
    </x:row>
    <x:row r="93" ht="15" hidden="0" customHeight="1">
      <x:c r="A93" s="26" t="str">
        <x:v>IDEA-089</x:v>
      </x:c>
      <x:c r="B93" s="26" t="str">
        <x:v>Campaigns</x:v>
      </x:c>
      <x:c r="C93" s="26" t="str">
        <x:v>The Surgery Avoidance Guide</x:v>
      </x:c>
      <x:c r="D93" s="26" t="str">
        <x:v>Lead magnet PDF</x:v>
      </x:c>
      <x:c r="E93" s="26" t="str">
        <x:v>Surgery avoidance</x:v>
      </x:c>
      <x:c r="F93" s="26" t="str"/>
      <x:c r="G93" s="26" t="str"/>
      <x:c r="H93" s="26" t="str">
        <x:v>UNUSED</x:v>
      </x:c>
      <x:c r="I93" s="26" t="str">
        <x:v>Jeevisha Research.md §10</x:v>
      </x:c>
      <x:c r="J93" s="26" t="str"/>
    </x:row>
    <x:row r="94" ht="15" hidden="0" customHeight="1">
      <x:c r="A94" s="26" t="str">
        <x:v>IDEA-090</x:v>
      </x:c>
      <x:c r="B94" s="26" t="str">
        <x:v>Campaigns</x:v>
      </x:c>
      <x:c r="C94" s="26" t="str">
        <x:v>Desk Job Pain Relief Checklist</x:v>
      </x:c>
      <x:c r="D94" s="26" t="str">
        <x:v>Lead magnet PDF</x:v>
      </x:c>
      <x:c r="E94" s="26" t="str">
        <x:v>Desk-job pain</x:v>
      </x:c>
      <x:c r="F94" s="26" t="str"/>
      <x:c r="G94" s="26" t="str"/>
      <x:c r="H94" s="26" t="str">
        <x:v>UNUSED</x:v>
      </x:c>
      <x:c r="I94" s="26" t="str">
        <x:v>Jeevisha Research.md §10</x:v>
      </x:c>
      <x:c r="J94" s="26" t="str"/>
    </x:row>
    <x:row r="95" ht="15" hidden="0" customHeight="1">
      <x:c r="A95" s="26" t="str">
        <x:v>IDEA-091</x:v>
      </x:c>
      <x:c r="B95" s="26" t="str">
        <x:v>Campaigns</x:v>
      </x:c>
      <x:c r="C95" s="26" t="str">
        <x:v>Understanding Your MRI Report</x:v>
      </x:c>
      <x:c r="D95" s="26" t="str">
        <x:v>Lead magnet PDF</x:v>
      </x:c>
      <x:c r="E95" s="26" t="str">
        <x:v>Diagnostic clarity</x:v>
      </x:c>
      <x:c r="F95" s="26" t="str"/>
      <x:c r="G95" s="26" t="str"/>
      <x:c r="H95" s="26" t="str">
        <x:v>UNUSED</x:v>
      </x:c>
      <x:c r="I95" s="26" t="str">
        <x:v>Jeevisha Research.md §10</x:v>
      </x:c>
      <x:c r="J95" s="26" t="str"/>
    </x:row>
    <x:row r="96" ht="15" hidden="0" customHeight="1">
      <x:c r="A96" s="26" t="str">
        <x:v>IDEA-092</x:v>
      </x:c>
      <x:c r="B96" s="26" t="str">
        <x:v>Campaigns</x:v>
      </x:c>
      <x:c r="C96" s="26" t="str">
        <x:v>5 Questions to Ask Before Any Pain Injection</x:v>
      </x:c>
      <x:c r="D96" s="26" t="str">
        <x:v>Lead magnet PDF</x:v>
      </x:c>
      <x:c r="E96" s="26" t="str">
        <x:v>Trust-building</x:v>
      </x:c>
      <x:c r="F96" s="26" t="str"/>
      <x:c r="G96" s="26" t="str"/>
      <x:c r="H96" s="26" t="str">
        <x:v>UNUSED</x:v>
      </x:c>
      <x:c r="I96" s="26" t="str">
        <x:v>Jeevisha Research.md §10</x:v>
      </x:c>
      <x:c r="J96" s="26" t="str"/>
    </x:row>
    <x:row r="97" ht="15" hidden="0" customHeight="1">
      <x:c r="A97" s="26" t="str">
        <x:v>IDEA-093</x:v>
      </x:c>
      <x:c r="B97" s="26" t="str">
        <x:v>Campaigns</x:v>
      </x:c>
      <x:c r="C97" s="26" t="str">
        <x:v>Pain Assessment Quiz with personalized report</x:v>
      </x:c>
      <x:c r="D97" s="26" t="str">
        <x:v>Interactive lead magnet</x:v>
      </x:c>
      <x:c r="E97" s="26" t="str">
        <x:v>Lead generation</x:v>
      </x:c>
      <x:c r="F97" s="26" t="str"/>
      <x:c r="G97" s="26" t="str"/>
      <x:c r="H97" s="26" t="str">
        <x:v>UNUSED</x:v>
      </x:c>
      <x:c r="I97" s="26" t="str">
        <x:v>Jeevisha Research.md §10</x:v>
      </x:c>
      <x:c r="J97" s="26" t="str"/>
    </x:row>
    <x:row r="98" ht="15" hidden="0" customHeight="1">
      <x:c r="A98" s="26" t="str">
        <x:v>IDEA-094</x:v>
      </x:c>
      <x:c r="B98" s="26" t="str">
        <x:v>Campaigns</x:v>
      </x:c>
      <x:c r="C98" s="26" t="str">
        <x:v>Regenerative Pain Medicine Program</x:v>
      </x:c>
      <x:c r="D98" s="26" t="str">
        <x:v>Service campaign</x:v>
      </x:c>
      <x:c r="E98" s="26" t="str">
        <x:v>Regenerative medicine</x:v>
      </x:c>
      <x:c r="F98" s="26" t="str"/>
      <x:c r="G98" s="26" t="str"/>
      <x:c r="H98" s="26" t="str">
        <x:v>NEEDS_REVIEW</x:v>
      </x:c>
      <x:c r="I98" s="26" t="str">
        <x:v>Jeevisha Research.md §10</x:v>
      </x:c>
      <x:c r="J98" s="26" t="str">
        <x:v>Service scope, inclusions, price and clinical appropriateness unverified</x:v>
      </x:c>
    </x:row>
    <x:row r="99" ht="15" hidden="0" customHeight="1">
      <x:c r="A99" s="26" t="str">
        <x:v>IDEA-095</x:v>
      </x:c>
      <x:c r="B99" s="26" t="str">
        <x:v>Campaigns</x:v>
      </x:c>
      <x:c r="C99" s="26" t="str">
        <x:v>Surgery Second Opinion Consultation</x:v>
      </x:c>
      <x:c r="D99" s="26" t="str">
        <x:v>Service campaign</x:v>
      </x:c>
      <x:c r="E99" s="26" t="str">
        <x:v>Surgery avoidance</x:v>
      </x:c>
      <x:c r="F99" s="26" t="str"/>
      <x:c r="G99" s="26" t="str"/>
      <x:c r="H99" s="26" t="str">
        <x:v>UNUSED</x:v>
      </x:c>
      <x:c r="I99" s="26" t="str">
        <x:v>Jeevisha Research.md §10</x:v>
      </x:c>
      <x:c r="J99" s="26" t="str"/>
    </x:row>
    <x:row r="100" ht="15" hidden="0" customHeight="1">
      <x:c r="A100" s="26" t="str">
        <x:v>IDEA-096</x:v>
      </x:c>
      <x:c r="B100" s="26" t="str">
        <x:v>Campaigns</x:v>
      </x:c>
      <x:c r="C100" s="26" t="str">
        <x:v>Pain Assessment + Diagnostic Consultation</x:v>
      </x:c>
      <x:c r="D100" s="26" t="str">
        <x:v>Service campaign</x:v>
      </x:c>
      <x:c r="E100" s="26" t="str">
        <x:v>Diagnostic clarity</x:v>
      </x:c>
      <x:c r="F100" s="26" t="str"/>
      <x:c r="G100" s="26" t="str"/>
      <x:c r="H100" s="26" t="str">
        <x:v>UNUSED</x:v>
      </x:c>
      <x:c r="I100" s="26" t="str">
        <x:v>Jeevisha Research.md §10</x:v>
      </x:c>
      <x:c r="J100" s="26" t="str"/>
    </x:row>
    <x:row r="101" ht="15" hidden="0" customHeight="1">
      <x:c r="A101" s="26" t="str">
        <x:v>IDEA-097</x:v>
      </x:c>
      <x:c r="B101" s="26" t="str">
        <x:v>Campaigns</x:v>
      </x:c>
      <x:c r="C101" s="26" t="str">
        <x:v>Comprehensive Spine/Joint Regeneration Package</x:v>
      </x:c>
      <x:c r="D101" s="26" t="str">
        <x:v>Service campaign</x:v>
      </x:c>
      <x:c r="E101" s="26" t="str">
        <x:v>Regenerative medicine</x:v>
      </x:c>
      <x:c r="F101" s="26" t="str"/>
      <x:c r="G101" s="26" t="str"/>
      <x:c r="H101" s="26" t="str">
        <x:v>NEEDS_REVIEW</x:v>
      </x:c>
      <x:c r="I101" s="26" t="str">
        <x:v>Jeevisha Research.md §10</x:v>
      </x:c>
      <x:c r="J101" s="26" t="str">
        <x:v>Service scope, inclusions, price and clinical appropriateness unverified</x:v>
      </x:c>
    </x:row>
    <x:row r="102" ht="15" hidden="0" customHeight="1">
      <x:c r="A102" s="26" t="str">
        <x:v>IDEA-098</x:v>
      </x:c>
      <x:c r="B102" s="26" t="str">
        <x:v>Campaigns</x:v>
      </x:c>
      <x:c r="C102" s="26" t="str">
        <x:v>Annual Pain Wellness Membership</x:v>
      </x:c>
      <x:c r="D102" s="26" t="str">
        <x:v>Retention campaign</x:v>
      </x:c>
      <x:c r="E102" s="26" t="str">
        <x:v>Retention</x:v>
      </x:c>
      <x:c r="F102" s="26" t="str"/>
      <x:c r="G102" s="26" t="str"/>
      <x:c r="H102" s="26" t="str">
        <x:v>NEEDS_REVIEW</x:v>
      </x:c>
      <x:c r="I102" s="26" t="str">
        <x:v>Jeevisha Research.md §10</x:v>
      </x:c>
      <x:c r="J102" s="26" t="str">
        <x:v>Service scope, inclusions, price and clinical appropriateness unverified</x:v>
      </x:c>
    </x:row>
    <x:row r="103" ht="15" hidden="0" customHeight="1">
      <x:c r="A103" s="26" t="str">
        <x:v>IDEA-099</x:v>
      </x:c>
      <x:c r="B103" s="26" t="str">
        <x:v>Campaigns</x:v>
      </x:c>
      <x:c r="C103" s="26" t="str">
        <x:v>Knee Renewal Program</x:v>
      </x:c>
      <x:c r="D103" s="26" t="str">
        <x:v>Branded service package</x:v>
      </x:c>
      <x:c r="E103" s="26" t="str">
        <x:v>Knee pain</x:v>
      </x:c>
      <x:c r="F103" s="26" t="str"/>
      <x:c r="G103" s="26" t="str"/>
      <x:c r="H103" s="26" t="str">
        <x:v>NEEDS_REVIEW</x:v>
      </x:c>
      <x:c r="I103" s="26" t="str">
        <x:v>Jeevisha Research.md §10</x:v>
      </x:c>
      <x:c r="J103" s="26" t="str">
        <x:v>Service scope, inclusions, price and clinical appropriateness unverified</x:v>
      </x:c>
    </x:row>
    <x:row r="104" ht="15" hidden="0" customHeight="1">
      <x:c r="A104" s="26" t="str">
        <x:v>IDEA-100</x:v>
      </x:c>
      <x:c r="B104" s="26" t="str">
        <x:v>Campaigns</x:v>
      </x:c>
      <x:c r="C104" s="26" t="str">
        <x:v>Spine Rescue Protocol</x:v>
      </x:c>
      <x:c r="D104" s="26" t="str">
        <x:v>Branded service package</x:v>
      </x:c>
      <x:c r="E104" s="26" t="str">
        <x:v>Back/spine</x:v>
      </x:c>
      <x:c r="F104" s="26" t="str"/>
      <x:c r="G104" s="26" t="str"/>
      <x:c r="H104" s="26" t="str">
        <x:v>UNUSED</x:v>
      </x:c>
      <x:c r="I104" s="26" t="str">
        <x:v>Jeevisha Research.md §10</x:v>
      </x:c>
      <x:c r="J104" s="26" t="str"/>
    </x:row>
    <x:row r="105" ht="15" hidden="0" customHeight="1">
      <x:c r="A105" s="26" t="str">
        <x:v>IDEA-101</x:v>
      </x:c>
      <x:c r="B105" s="26" t="str">
        <x:v>Campaigns</x:v>
      </x:c>
      <x:c r="C105" s="26" t="str">
        <x:v>Athlete’s Comeback Plan</x:v>
      </x:c>
      <x:c r="D105" s="26" t="str">
        <x:v>Branded service package</x:v>
      </x:c>
      <x:c r="E105" s="26" t="str">
        <x:v>Sports injury</x:v>
      </x:c>
      <x:c r="F105" s="26" t="str"/>
      <x:c r="G105" s="26" t="str"/>
      <x:c r="H105" s="26" t="str">
        <x:v>UNUSED</x:v>
      </x:c>
      <x:c r="I105" s="26" t="str">
        <x:v>Jeevisha Research.md §10</x:v>
      </x:c>
      <x:c r="J105" s="26" t="str"/>
    </x:row>
    <x:row r="106" ht="15" hidden="0" customHeight="1">
      <x:c r="A106" s="26" t="str">
        <x:v>IDEA-102</x:v>
      </x:c>
      <x:c r="B106" s="26" t="str">
        <x:v>Campaigns</x:v>
      </x:c>
      <x:c r="C106" s="26" t="str">
        <x:v>Freedom from Fibromyalgia Program</x:v>
      </x:c>
      <x:c r="D106" s="26" t="str">
        <x:v>Branded service package</x:v>
      </x:c>
      <x:c r="E106" s="26" t="str">
        <x:v>Complex pain</x:v>
      </x:c>
      <x:c r="F106" s="26" t="str"/>
      <x:c r="G106" s="26" t="str"/>
      <x:c r="H106" s="26" t="str">
        <x:v>NEEDS_REVIEW</x:v>
      </x:c>
      <x:c r="I106" s="26" t="str">
        <x:v>Jeevisha Research.md §10</x:v>
      </x:c>
      <x:c r="J106" s="26" t="str">
        <x:v>Service scope, inclusions, price and clinical appropriateness unverified</x:v>
      </x:c>
    </x:row>
    <x:row r="107" ht="21.600000381469727" hidden="0" customHeight="1">
      <x:c r="A107" s="26" t="str">
        <x:v>IDEA-103</x:v>
      </x:c>
      <x:c r="B107" s="26" t="str">
        <x:v>Static posts</x:v>
      </x:c>
      <x:c r="C107" s="26" t="str">
        <x:v>Guru Purnima — Honouring the wisdom that heals</x:v>
      </x:c>
      <x:c r="D107" s="26" t="str">
        <x:v>Festival post</x:v>
      </x:c>
      <x:c r="E107" s="26" t="str">
        <x:v>Occasion</x:v>
      </x:c>
      <x:c r="F107" s="26" t="str"/>
      <x:c r="G107" s="26" t="str"/>
      <x:c r="H107" s="26" t="str">
        <x:v>DRAFT</x:v>
      </x:c>
      <x:c r="I107" s="26" t="str">
        <x:v>jeevisha_prompting_style_guideline.md §9</x:v>
      </x:c>
      <x:c r="J107" s="26" t="str">
        <x:v>Uses legacy 'Hospital' naming in source; update to active canonical after client sign-off</x:v>
      </x:c>
    </x:row>
    <x:row r="108" ht="21.600000381469727" hidden="0" customHeight="1">
      <x:c r="A108" s="26" t="str">
        <x:v>IDEA-104</x:v>
      </x:c>
      <x:c r="B108" s="26" t="str">
        <x:v>Static posts</x:v>
      </x:c>
      <x:c r="C108" s="26" t="str">
        <x:v>5 Signs Your Back Pain Needs Expert Attention</x:v>
      </x:c>
      <x:c r="D108" s="26" t="str">
        <x:v>Text-heavy 75% static</x:v>
      </x:c>
      <x:c r="E108" s="26" t="str">
        <x:v>Condition education</x:v>
      </x:c>
      <x:c r="F108" s="26" t="str"/>
      <x:c r="G108" s="26" t="str"/>
      <x:c r="H108" s="26" t="str">
        <x:v>DRAFT</x:v>
      </x:c>
      <x:c r="I108" s="26" t="str">
        <x:v>jeevisha_prompting_style_guideline.md §9</x:v>
      </x:c>
      <x:c r="J108" s="26" t="str">
        <x:v>Uses legacy 'Hospital' naming in source; update to active canonical after client sign-off</x:v>
      </x:c>
    </x:row>
    <x:row r="109" ht="21.600000381469727" hidden="0" customHeight="1">
      <x:c r="A109" s="26" t="str">
        <x:v>IDEA-105</x:v>
      </x:c>
      <x:c r="B109" s="26" t="str">
        <x:v>Static posts</x:v>
      </x:c>
      <x:c r="C109" s="26" t="str">
        <x:v>Move Freely Again — Advanced spine and regenerative care</x:v>
      </x:c>
      <x:c r="D109" s="26" t="str">
        <x:v>Photorealistic promotional static</x:v>
      </x:c>
      <x:c r="E109" s="26" t="str">
        <x:v>Brand promotion</x:v>
      </x:c>
      <x:c r="F109" s="26" t="str"/>
      <x:c r="G109" s="26" t="str"/>
      <x:c r="H109" s="26" t="str">
        <x:v>DRAFT</x:v>
      </x:c>
      <x:c r="I109" s="26" t="str">
        <x:v>jeevisha_prompting_style_guideline.md §9</x:v>
      </x:c>
      <x:c r="J109" s="26" t="str">
        <x:v>Uses legacy 'Hospital' naming in source; update to active canonical after client sign-off</x:v>
      </x:c>
    </x:row>
    <x:row r="110" ht="21.600000381469727" hidden="0" customHeight="1">
      <x:c r="A110" s="26" t="str">
        <x:v>IDEA-106</x:v>
      </x:c>
      <x:c r="B110" s="26" t="str">
        <x:v>Static posts</x:v>
      </x:c>
      <x:c r="C110" s="26" t="str">
        <x:v>Back pain? Meet expert spine care.</x:v>
      </x:c>
      <x:c r="D110" s="26" t="str">
        <x:v>Promotional ad creative</x:v>
      </x:c>
      <x:c r="E110" s="26" t="str">
        <x:v>Back pain</x:v>
      </x:c>
      <x:c r="F110" s="26" t="str"/>
      <x:c r="G110" s="26" t="str"/>
      <x:c r="H110" s="26" t="str">
        <x:v>DRAFT</x:v>
      </x:c>
      <x:c r="I110" s="26" t="str">
        <x:v>jeevisha_prompting_style_guideline.md §9</x:v>
      </x:c>
      <x:c r="J110" s="26" t="str">
        <x:v>Uses legacy 'Hospital' naming in source; update to active canonical after client sign-off</x:v>
      </x:c>
    </x:row>
    <x:row r="111" ht="21.600000381469727" hidden="0" customHeight="1">
      <x:c r="A111" s="26" t="str">
        <x:v>IDEA-107</x:v>
      </x:c>
      <x:c r="B111" s="26" t="str">
        <x:v>Static posts</x:v>
      </x:c>
      <x:c r="C111" s="26" t="str">
        <x:v>Stronger knees. Smarter recovery.</x:v>
      </x:c>
      <x:c r="D111" s="26" t="str">
        <x:v>Knee care promotional static</x:v>
      </x:c>
      <x:c r="E111" s="26" t="str">
        <x:v>Knee pain</x:v>
      </x:c>
      <x:c r="F111" s="26" t="str"/>
      <x:c r="G111" s="26" t="str"/>
      <x:c r="H111" s="26" t="str">
        <x:v>DRAFT</x:v>
      </x:c>
      <x:c r="I111" s="26" t="str">
        <x:v>jeevisha_prompting_style_guideline.md §9</x:v>
      </x:c>
      <x:c r="J111" s="26" t="str">
        <x:v>Uses legacy 'Hospital' naming in source; update to active canonical after client sign-off</x:v>
      </x:c>
    </x:row>
    <x:row r="112" ht="21.600000381469727" hidden="0" customHeight="1">
      <x:c r="A112" s="26" t="str">
        <x:v>IDEA-108</x:v>
      </x:c>
      <x:c r="B112" s="26" t="str">
        <x:v>Static posts</x:v>
      </x:c>
      <x:c r="C112" s="26" t="str">
        <x:v>Advanced Spine &amp; Regenerative Care — six-pillar infographic</x:v>
      </x:c>
      <x:c r="D112" s="26" t="str">
        <x:v>Infographic</x:v>
      </x:c>
      <x:c r="E112" s="26" t="str">
        <x:v>Treatment overview</x:v>
      </x:c>
      <x:c r="F112" s="26" t="str"/>
      <x:c r="G112" s="26" t="str"/>
      <x:c r="H112" s="26" t="str">
        <x:v>DRAFT</x:v>
      </x:c>
      <x:c r="I112" s="26" t="str">
        <x:v>jeevisha_prompting_style_guideline.md §9</x:v>
      </x:c>
      <x:c r="J112" s="26" t="str">
        <x:v>Uses legacy 'Hospital' naming in source; update to active canonical after client sign-off</x:v>
      </x:c>
    </x:row>
    <x:row r="113" ht="21.600000381469727" hidden="0" customHeight="1">
      <x:c r="A113" s="26" t="str">
        <x:v>IDEA-109</x:v>
      </x:c>
      <x:c r="B113" s="26" t="str">
        <x:v>Carousels</x:v>
      </x:c>
      <x:c r="C113" s="26" t="str">
        <x:v>5 Back Pain Myths Patients Still Believe</x:v>
      </x:c>
      <x:c r="D113" s="26" t="str">
        <x:v>Carousel cover</x:v>
      </x:c>
      <x:c r="E113" s="26" t="str">
        <x:v>Myth-busting</x:v>
      </x:c>
      <x:c r="F113" s="26" t="str"/>
      <x:c r="G113" s="26" t="str"/>
      <x:c r="H113" s="26" t="str">
        <x:v>DRAFT</x:v>
      </x:c>
      <x:c r="I113" s="26" t="str">
        <x:v>jeevisha_prompting_style_guideline.md §9</x:v>
      </x:c>
      <x:c r="J113" s="26" t="str">
        <x:v>Uses legacy 'Hospital' naming in source; update to active canonical after client sign-off</x:v>
      </x:c>
    </x:row>
    <x:row r="114" ht="15" hidden="0" customHeight="1">
      <x:c r="A114" s="26" t="str">
        <x:v>IDEA-110</x:v>
      </x:c>
      <x:c r="B114" s="26" t="str">
        <x:v>Reels</x:v>
      </x:c>
      <x:c r="C114" s="26" t="str">
        <x:v>तो 9 बोटांनी typing करायचा</x:v>
      </x:c>
      <x:c r="D114" s="26" t="str">
        <x:v>Marathi text-overlay reel</x:v>
      </x:c>
      <x:c r="E114" s="26" t="str">
        <x:v>Hidden nerve symptoms</x:v>
      </x:c>
      <x:c r="F114" s="26" t="str"/>
      <x:c r="G114" s="26" t="str"/>
      <x:c r="H114" s="26" t="str">
        <x:v>UNUSED</x:v>
      </x:c>
      <x:c r="I114" s="26" t="str">
        <x:v>Jeevisha Marathi Text Overlay Script.txt</x:v>
      </x:c>
      <x:c r="J114" s="26" t="str">
        <x:v>Hook fragment only; full anonymized, medically accurate script still required</x:v>
      </x:c>
    </x:row>
    <x:row r="115" ht="15" hidden="0" customHeight="1">
      <x:c r="A115" s="26" t="str">
        <x:v>IDEA-111</x:v>
      </x:c>
      <x:c r="B115" s="26" t="str">
        <x:v>Reels</x:v>
      </x:c>
      <x:c r="C115" s="26" t="str">
        <x:v>तीने बाहेर जाणं बंद केलं</x:v>
      </x:c>
      <x:c r="D115" s="26" t="str">
        <x:v>Marathi text-overlay reel</x:v>
      </x:c>
      <x:c r="E115" s="26" t="str">
        <x:v>Social withdrawal</x:v>
      </x:c>
      <x:c r="F115" s="26" t="str"/>
      <x:c r="G115" s="26" t="str"/>
      <x:c r="H115" s="26" t="str">
        <x:v>UNUSED</x:v>
      </x:c>
      <x:c r="I115" s="26" t="str">
        <x:v>Jeevisha Marathi Text Overlay Script.txt</x:v>
      </x:c>
      <x:c r="J115" s="26" t="str">
        <x:v>Hook fragment only; full anonymized, medically accurate script still required</x:v>
      </x:c>
    </x:row>
    <x:row r="116" ht="15" hidden="0" customHeight="1">
      <x:c r="A116" s="26" t="str">
        <x:v>IDEA-112</x:v>
      </x:c>
      <x:c r="B116" s="26" t="str">
        <x:v>Reels</x:v>
      </x:c>
      <x:c r="C116" s="26" t="str">
        <x:v>त्याने खाणं बंद केलं होतं</x:v>
      </x:c>
      <x:c r="D116" s="26" t="str">
        <x:v>Marathi text-overlay reel</x:v>
      </x:c>
      <x:c r="E116" s="26" t="str">
        <x:v>Facial/oral pain story</x:v>
      </x:c>
      <x:c r="F116" s="26" t="str"/>
      <x:c r="G116" s="26" t="str"/>
      <x:c r="H116" s="26" t="str">
        <x:v>UNUSED</x:v>
      </x:c>
      <x:c r="I116" s="26" t="str">
        <x:v>Jeevisha Marathi Text Overlay Script.txt</x:v>
      </x:c>
      <x:c r="J116" s="26" t="str">
        <x:v>Hook fragment only; full anonymized, medically accurate script still required</x:v>
      </x:c>
    </x:row>
    <x:row r="117" ht="15" hidden="0" customHeight="1">
      <x:c r="A117" s="26" t="str">
        <x:v>IDEA-113</x:v>
      </x:c>
      <x:c r="B117" s="26" t="str">
        <x:v>Reels</x:v>
      </x:c>
      <x:c r="C117" s="26" t="str">
        <x:v>4 महिन्यांपासून तो bed वर झोपलाच नव्हता</x:v>
      </x:c>
      <x:c r="D117" s="26" t="str">
        <x:v>Marathi text-overlay reel</x:v>
      </x:c>
      <x:c r="E117" s="26" t="str">
        <x:v>Sleep-disrupting pain</x:v>
      </x:c>
      <x:c r="F117" s="26" t="str"/>
      <x:c r="G117" s="26" t="str"/>
      <x:c r="H117" s="26" t="str">
        <x:v>UNUSED</x:v>
      </x:c>
      <x:c r="I117" s="26" t="str">
        <x:v>Jeevisha Marathi Text Overlay Script.txt</x:v>
      </x:c>
      <x:c r="J117" s="26" t="str">
        <x:v>Hook fragment only; full anonymized, medically accurate script still required</x:v>
      </x:c>
    </x:row>
    <x:row r="118" ht="15" hidden="0" customHeight="1">
      <x:c r="A118" s="26" t="str">
        <x:v>IDEA-114</x:v>
      </x:c>
      <x:c r="B118" s="26" t="str">
        <x:v>Stories</x:v>
      </x:c>
      <x:c r="C118" s="26" t="str">
        <x:v>Ask Dr. Sanjog: submit your pain question</x:v>
      </x:c>
      <x:c r="D118" s="26" t="str">
        <x:v>Question sticker story</x:v>
      </x:c>
      <x:c r="E118" s="26" t="str">
        <x:v>Founder authority</x:v>
      </x:c>
      <x:c r="F118" s="26" t="str"/>
      <x:c r="G118" s="26" t="str"/>
      <x:c r="H118" s="26" t="str">
        <x:v>UNUSED</x:v>
      </x:c>
      <x:c r="I118" s="26" t="str">
        <x:v>Brand/GMB content pillars and SOPs</x:v>
      </x:c>
      <x:c r="J118" s="26" t="str"/>
    </x:row>
    <x:row r="119" ht="15" hidden="0" customHeight="1">
      <x:c r="A119" s="26" t="str">
        <x:v>IDEA-115</x:v>
      </x:c>
      <x:c r="B119" s="26" t="str">
        <x:v>Stories</x:v>
      </x:c>
      <x:c r="C119" s="26" t="str">
        <x:v>Bring your MRI: what to prepare for a second-opinion visit</x:v>
      </x:c>
      <x:c r="D119" s="26" t="str">
        <x:v>Checklist story</x:v>
      </x:c>
      <x:c r="E119" s="26" t="str">
        <x:v>Diagnostic clarity</x:v>
      </x:c>
      <x:c r="F119" s="26" t="str"/>
      <x:c r="G119" s="26" t="str"/>
      <x:c r="H119" s="26" t="str">
        <x:v>UNUSED</x:v>
      </x:c>
      <x:c r="I119" s="26" t="str">
        <x:v>Brand/GMB content pillars and SOPs</x:v>
      </x:c>
      <x:c r="J119" s="26" t="str"/>
    </x:row>
    <x:row r="120" ht="15" hidden="0" customHeight="1">
      <x:c r="A120" s="26" t="str">
        <x:v>IDEA-116</x:v>
      </x:c>
      <x:c r="B120" s="26" t="str">
        <x:v>Stories</x:v>
      </x:c>
      <x:c r="C120" s="26" t="str">
        <x:v>Clinic morning setup</x:v>
      </x:c>
      <x:c r="D120" s="26" t="str">
        <x:v>Behind-the-scenes story</x:v>
      </x:c>
      <x:c r="E120" s="26" t="str">
        <x:v>Trust-building</x:v>
      </x:c>
      <x:c r="F120" s="26" t="str"/>
      <x:c r="G120" s="26" t="str"/>
      <x:c r="H120" s="26" t="str">
        <x:v>UNUSED</x:v>
      </x:c>
      <x:c r="I120" s="26" t="str">
        <x:v>Brand/GMB content pillars and SOPs</x:v>
      </x:c>
      <x:c r="J120" s="26" t="str"/>
    </x:row>
    <x:row r="121" ht="15" hidden="0" customHeight="1">
      <x:c r="A121" s="26" t="str">
        <x:v>IDEA-117</x:v>
      </x:c>
      <x:c r="B121" s="26" t="str">
        <x:v>Stories</x:v>
      </x:c>
      <x:c r="C121" s="26" t="str">
        <x:v>C-arm equipment detail and why imaging guidance matters</x:v>
      </x:c>
      <x:c r="D121" s="26" t="str">
        <x:v>Equipment story</x:v>
      </x:c>
      <x:c r="E121" s="26" t="str">
        <x:v>Treatment explained</x:v>
      </x:c>
      <x:c r="F121" s="26" t="str"/>
      <x:c r="G121" s="26" t="str"/>
      <x:c r="H121" s="26" t="str">
        <x:v>UNUSED</x:v>
      </x:c>
      <x:c r="I121" s="26" t="str">
        <x:v>Brand/GMB content pillars and SOPs</x:v>
      </x:c>
      <x:c r="J121" s="26" t="str"/>
    </x:row>
    <x:row r="122" ht="15" hidden="0" customHeight="1">
      <x:c r="A122" s="26" t="str">
        <x:v>IDEA-118</x:v>
      </x:c>
      <x:c r="B122" s="26" t="str">
        <x:v>Stories</x:v>
      </x:c>
      <x:c r="C122" s="26" t="str">
        <x:v>USG-guided procedure preparation without patient identity</x:v>
      </x:c>
      <x:c r="D122" s="26" t="str">
        <x:v>Equipment story</x:v>
      </x:c>
      <x:c r="E122" s="26" t="str">
        <x:v>Treatment explained</x:v>
      </x:c>
      <x:c r="F122" s="26" t="str"/>
      <x:c r="G122" s="26" t="str"/>
      <x:c r="H122" s="26" t="str">
        <x:v>UNUSED</x:v>
      </x:c>
      <x:c r="I122" s="26" t="str">
        <x:v>Brand/GMB content pillars and SOPs</x:v>
      </x:c>
      <x:c r="J122" s="26" t="str"/>
    </x:row>
    <x:row r="123" ht="15" hidden="0" customHeight="1">
      <x:c r="A123" s="26" t="str">
        <x:v>IDEA-119</x:v>
      </x:c>
      <x:c r="B123" s="26" t="str">
        <x:v>Stories</x:v>
      </x:c>
      <x:c r="C123" s="26" t="str">
        <x:v>Review response: what patients value about being heard</x:v>
      </x:c>
      <x:c r="D123" s="26" t="str">
        <x:v>Review story</x:v>
      </x:c>
      <x:c r="E123" s="26" t="str">
        <x:v>Trust-building</x:v>
      </x:c>
      <x:c r="F123" s="26" t="str"/>
      <x:c r="G123" s="26" t="str"/>
      <x:c r="H123" s="26" t="str">
        <x:v>UNUSED</x:v>
      </x:c>
      <x:c r="I123" s="26" t="str">
        <x:v>Brand/GMB content pillars and SOPs</x:v>
      </x:c>
      <x:c r="J123" s="26" t="str"/>
    </x:row>
    <x:row r="124" ht="15" hidden="0" customHeight="1">
      <x:c r="A124" s="26" t="str">
        <x:v>IDEA-120</x:v>
      </x:c>
      <x:c r="B124" s="26" t="str">
        <x:v>Stories</x:v>
      </x:c>
      <x:c r="C124" s="26" t="str">
        <x:v>Marathi/Hindi/English consultation availability</x:v>
      </x:c>
      <x:c r="D124" s="26" t="str">
        <x:v>Service story</x:v>
      </x:c>
      <x:c r="E124" s="26" t="str">
        <x:v>Accessibility</x:v>
      </x:c>
      <x:c r="F124" s="26" t="str"/>
      <x:c r="G124" s="26" t="str"/>
      <x:c r="H124" s="26" t="str">
        <x:v>UNUSED</x:v>
      </x:c>
      <x:c r="I124" s="26" t="str">
        <x:v>Brand/GMB content pillars and SOPs</x:v>
      </x:c>
      <x:c r="J124" s="26" t="str"/>
    </x:row>
    <x:row r="125" ht="15" hidden="0" customHeight="1">
      <x:c r="A125" s="26" t="str">
        <x:v>IDEA-121</x:v>
      </x:c>
      <x:c r="B125" s="26" t="str">
        <x:v>Stories</x:v>
      </x:c>
      <x:c r="C125" s="26" t="str">
        <x:v>Wakad location and directions from Hinjewadi</x:v>
      </x:c>
      <x:c r="D125" s="26" t="str">
        <x:v>Local directions story</x:v>
      </x:c>
      <x:c r="E125" s="26" t="str">
        <x:v>Local/community</x:v>
      </x:c>
      <x:c r="F125" s="26" t="str"/>
      <x:c r="G125" s="26" t="str"/>
      <x:c r="H125" s="26" t="str">
        <x:v>UNUSED</x:v>
      </x:c>
      <x:c r="I125" s="26" t="str">
        <x:v>Brand/GMB content pillars and SOPs</x:v>
      </x:c>
      <x:c r="J125" s="26" t="str"/>
    </x:row>
    <x:row r="126" ht="15" hidden="0" customHeight="1">
      <x:c r="A126" s="26" t="str">
        <x:v>IDEA-122</x:v>
      </x:c>
      <x:c r="B126" s="26" t="str">
        <x:v>Stories</x:v>
      </x:c>
      <x:c r="C126" s="26" t="str">
        <x:v>Myth poll: Do all slipped discs need surgery?</x:v>
      </x:c>
      <x:c r="D126" s="26" t="str">
        <x:v>Interactive poll story</x:v>
      </x:c>
      <x:c r="E126" s="26" t="str">
        <x:v>Surgery avoidance</x:v>
      </x:c>
      <x:c r="F126" s="26" t="str"/>
      <x:c r="G126" s="26" t="str"/>
      <x:c r="H126" s="26" t="str">
        <x:v>UNUSED</x:v>
      </x:c>
      <x:c r="I126" s="26" t="str">
        <x:v>Brand/GMB content pillars and SOPs</x:v>
      </x:c>
      <x:c r="J126" s="26" t="str">
        <x:v>Doctor/client approval required for medical statements</x:v>
      </x:c>
    </x:row>
    <x:row r="127" ht="15" hidden="0" customHeight="1">
      <x:c r="A127" s="26" t="str">
        <x:v>IDEA-123</x:v>
      </x:c>
      <x:c r="B127" s="26" t="str">
        <x:v>Stories</x:v>
      </x:c>
      <x:c r="C127" s="26" t="str">
        <x:v>One-question FAQ: when is surgery actually necessary?</x:v>
      </x:c>
      <x:c r="D127" s="26" t="str">
        <x:v>Doctor answer story</x:v>
      </x:c>
      <x:c r="E127" s="26" t="str">
        <x:v>Collaborative honesty</x:v>
      </x:c>
      <x:c r="F127" s="26" t="str"/>
      <x:c r="G127" s="26" t="str"/>
      <x:c r="H127" s="26" t="str">
        <x:v>UNUSED</x:v>
      </x:c>
      <x:c r="I127" s="26" t="str">
        <x:v>Brand/GMB content pillars and SOPs</x:v>
      </x:c>
      <x:c r="J127" s="26" t="str">
        <x:v>Doctor/client approval required for medical statements</x:v>
      </x:c>
    </x:row>
    <x:row r="128" ht="21.600000381469727" hidden="0" customHeight="1">
      <x:c r="A128" s="26" t="str">
        <x:v>IDEA-124</x:v>
      </x:c>
      <x:c r="B128" s="26" t="str">
        <x:v>Video concepts</x:v>
      </x:c>
      <x:c r="C128" s="26" t="str">
        <x:v>Dr. Sanjog introduction: credentials, philosophy, and what a first visit feels like</x:v>
      </x:c>
      <x:c r="D128" s="26" t="str">
        <x:v>Founder introduction video</x:v>
      </x:c>
      <x:c r="E128" s="26" t="str">
        <x:v>Founder authority</x:v>
      </x:c>
      <x:c r="F128" s="26" t="str"/>
      <x:c r="G128" s="26" t="str"/>
      <x:c r="H128" s="26" t="str">
        <x:v>UNUSED</x:v>
      </x:c>
      <x:c r="I128" s="26" t="str">
        <x:v>Brand Brain, GMB and Research content pillars</x:v>
      </x:c>
      <x:c r="J128" s="26" t="str">
        <x:v>Doctor review and consent required where patient/procedure is shown</x:v>
      </x:c>
    </x:row>
    <x:row r="129" ht="15" hidden="0" customHeight="1">
      <x:c r="A129" s="26" t="str">
        <x:v>IDEA-125</x:v>
      </x:c>
      <x:c r="B129" s="26" t="str">
        <x:v>Video concepts</x:v>
      </x:c>
      <x:c r="C129" s="26" t="str">
        <x:v>How Jeevisha reviews an MRI with a patient</x:v>
      </x:c>
      <x:c r="D129" s="26" t="str">
        <x:v>Doctor-patient explainer</x:v>
      </x:c>
      <x:c r="E129" s="26" t="str">
        <x:v>Diagnostic clarity</x:v>
      </x:c>
      <x:c r="F129" s="26" t="str"/>
      <x:c r="G129" s="26" t="str"/>
      <x:c r="H129" s="26" t="str">
        <x:v>UNUSED</x:v>
      </x:c>
      <x:c r="I129" s="26" t="str">
        <x:v>Brand Brain, GMB and Research content pillars</x:v>
      </x:c>
      <x:c r="J129" s="26" t="str">
        <x:v>Doctor review and consent required where patient/procedure is shown</x:v>
      </x:c>
    </x:row>
    <x:row r="130" ht="15" hidden="0" customHeight="1">
      <x:c r="A130" s="26" t="str">
        <x:v>IDEA-126</x:v>
      </x:c>
      <x:c r="B130" s="26" t="str">
        <x:v>Video concepts</x:v>
      </x:c>
      <x:c r="C130" s="26" t="str">
        <x:v>What happens during a surgery second-opinion consultation</x:v>
      </x:c>
      <x:c r="D130" s="26" t="str">
        <x:v>Process video</x:v>
      </x:c>
      <x:c r="E130" s="26" t="str">
        <x:v>Surgery avoidance</x:v>
      </x:c>
      <x:c r="F130" s="26" t="str"/>
      <x:c r="G130" s="26" t="str"/>
      <x:c r="H130" s="26" t="str">
        <x:v>UNUSED</x:v>
      </x:c>
      <x:c r="I130" s="26" t="str">
        <x:v>Brand Brain, GMB and Research content pillars</x:v>
      </x:c>
      <x:c r="J130" s="26" t="str">
        <x:v>Doctor review and consent required where patient/procedure is shown</x:v>
      </x:c>
    </x:row>
    <x:row r="131" ht="15" hidden="0" customHeight="1">
      <x:c r="A131" s="26" t="str">
        <x:v>IDEA-127</x:v>
      </x:c>
      <x:c r="B131" s="26" t="str">
        <x:v>Video concepts</x:v>
      </x:c>
      <x:c r="C131" s="26" t="str">
        <x:v>PRP procedure setup: blood draw, centrifuge, image guidance</x:v>
      </x:c>
      <x:c r="D131" s="26" t="str">
        <x:v>Procedure explainer</x:v>
      </x:c>
      <x:c r="E131" s="26" t="str">
        <x:v>Regenerative medicine</x:v>
      </x:c>
      <x:c r="F131" s="26" t="str"/>
      <x:c r="G131" s="26" t="str"/>
      <x:c r="H131" s="26" t="str">
        <x:v>UNUSED</x:v>
      </x:c>
      <x:c r="I131" s="26" t="str">
        <x:v>Brand Brain, GMB and Research content pillars</x:v>
      </x:c>
      <x:c r="J131" s="26" t="str">
        <x:v>Doctor review and consent required where patient/procedure is shown</x:v>
      </x:c>
    </x:row>
    <x:row r="132" ht="21.600000381469727" hidden="0" customHeight="1">
      <x:c r="A132" s="26" t="str">
        <x:v>IDEA-128</x:v>
      </x:c>
      <x:c r="B132" s="26" t="str">
        <x:v>Video concepts</x:v>
      </x:c>
      <x:c r="C132" s="26" t="str">
        <x:v>Radiofrequency ablation: what patients should know before evaluation</x:v>
      </x:c>
      <x:c r="D132" s="26" t="str">
        <x:v>Doctor explainer</x:v>
      </x:c>
      <x:c r="E132" s="26" t="str">
        <x:v>Treatment explained</x:v>
      </x:c>
      <x:c r="F132" s="26" t="str"/>
      <x:c r="G132" s="26" t="str"/>
      <x:c r="H132" s="26" t="str">
        <x:v>UNUSED</x:v>
      </x:c>
      <x:c r="I132" s="26" t="str">
        <x:v>Brand Brain, GMB and Research content pillars</x:v>
      </x:c>
      <x:c r="J132" s="26" t="str">
        <x:v>Doctor review and consent required where patient/procedure is shown</x:v>
      </x:c>
    </x:row>
    <x:row r="133" ht="15" hidden="0" customHeight="1">
      <x:c r="A133" s="26" t="str">
        <x:v>IDEA-129</x:v>
      </x:c>
      <x:c r="B133" s="26" t="str">
        <x:v>Video concepts</x:v>
      </x:c>
      <x:c r="C133" s="26" t="str">
        <x:v>Desk-job neck pain: a Hinjewadi patient profile</x:v>
      </x:c>
      <x:c r="D133" s="26" t="str">
        <x:v>Educational video</x:v>
      </x:c>
      <x:c r="E133" s="26" t="str">
        <x:v>Desk-job pain</x:v>
      </x:c>
      <x:c r="F133" s="26" t="str"/>
      <x:c r="G133" s="26" t="str"/>
      <x:c r="H133" s="26" t="str">
        <x:v>UNUSED</x:v>
      </x:c>
      <x:c r="I133" s="26" t="str">
        <x:v>Brand Brain, GMB and Research content pillars</x:v>
      </x:c>
      <x:c r="J133" s="26" t="str">
        <x:v>Doctor review and consent required where patient/procedure is shown</x:v>
      </x:c>
    </x:row>
    <x:row r="134" ht="15" hidden="0" customHeight="1">
      <x:c r="A134" s="26" t="str">
        <x:v>IDEA-130</x:v>
      </x:c>
      <x:c r="B134" s="26" t="str">
        <x:v>Video concepts</x:v>
      </x:c>
      <x:c r="C134" s="26" t="str">
        <x:v>Knee pain on stairs: what it can mean</x:v>
      </x:c>
      <x:c r="D134" s="26" t="str">
        <x:v>Educational video</x:v>
      </x:c>
      <x:c r="E134" s="26" t="str">
        <x:v>Knee pain</x:v>
      </x:c>
      <x:c r="F134" s="26" t="str"/>
      <x:c r="G134" s="26" t="str"/>
      <x:c r="H134" s="26" t="str">
        <x:v>UNUSED</x:v>
      </x:c>
      <x:c r="I134" s="26" t="str">
        <x:v>Brand Brain, GMB and Research content pillars</x:v>
      </x:c>
      <x:c r="J134" s="26" t="str">
        <x:v>Doctor review and consent required where patient/procedure is shown</x:v>
      </x:c>
    </x:row>
    <x:row r="135" ht="15" hidden="0" customHeight="1">
      <x:c r="A135" s="26" t="str">
        <x:v>IDEA-131</x:v>
      </x:c>
      <x:c r="B135" s="26" t="str">
        <x:v>Video concepts</x:v>
      </x:c>
      <x:c r="C135" s="26" t="str">
        <x:v>Complex pain: why normal scans do not mean the pain is unreal</x:v>
      </x:c>
      <x:c r="D135" s="26" t="str">
        <x:v>Authority video</x:v>
      </x:c>
      <x:c r="E135" s="26" t="str">
        <x:v>Complex pain</x:v>
      </x:c>
      <x:c r="F135" s="26" t="str"/>
      <x:c r="G135" s="26" t="str"/>
      <x:c r="H135" s="26" t="str">
        <x:v>UNUSED</x:v>
      </x:c>
      <x:c r="I135" s="26" t="str">
        <x:v>Brand Brain, GMB and Research content pillars</x:v>
      </x:c>
      <x:c r="J135" s="26" t="str">
        <x:v>Doctor review and consent required where patient/procedure is shown</x:v>
      </x:c>
    </x:row>
    <x:row r="136" ht="15" hidden="0" customHeight="1">
      <x:c r="A136" s="26" t="str">
        <x:v>IDEA-132</x:v>
      </x:c>
      <x:c r="B136" s="26" t="str">
        <x:v>Video concepts</x:v>
      </x:c>
      <x:c r="C136" s="26" t="str">
        <x:v>When Jeevisha refers a patient for surgery</x:v>
      </x:c>
      <x:c r="D136" s="26" t="str">
        <x:v>Trust-building video</x:v>
      </x:c>
      <x:c r="E136" s="26" t="str">
        <x:v>Collaborative honesty</x:v>
      </x:c>
      <x:c r="F136" s="26" t="str"/>
      <x:c r="G136" s="26" t="str"/>
      <x:c r="H136" s="26" t="str">
        <x:v>UNUSED</x:v>
      </x:c>
      <x:c r="I136" s="26" t="str">
        <x:v>Brand Brain, GMB and Research content pillars</x:v>
      </x:c>
      <x:c r="J136" s="26" t="str">
        <x:v>Doctor review and consent required where patient/procedure is shown</x:v>
      </x:c>
    </x:row>
    <x:row r="137" ht="15" hidden="0" customHeight="1">
      <x:c r="A137" s="26" t="str">
        <x:v>IDEA-133</x:v>
      </x:c>
      <x:c r="B137" s="26" t="str">
        <x:v>Video concepts</x:v>
      </x:c>
      <x:c r="C137" s="26" t="str">
        <x:v>Facility tour: consultation room, procedure room, equipment</x:v>
      </x:c>
      <x:c r="D137" s="26" t="str">
        <x:v>Clinic tour</x:v>
      </x:c>
      <x:c r="E137" s="26" t="str">
        <x:v>Trust-building</x:v>
      </x:c>
      <x:c r="F137" s="26" t="str"/>
      <x:c r="G137" s="26" t="str"/>
      <x:c r="H137" s="26" t="str">
        <x:v>UNUSED</x:v>
      </x:c>
      <x:c r="I137" s="26" t="str">
        <x:v>Brand Brain, GMB and Research content pillars</x:v>
      </x:c>
      <x:c r="J137" s="26" t="str">
        <x:v>Doctor review and consent required where patient/procedure is shown</x:v>
      </x:c>
    </x:row>
    <x:row r="138" ht="15" hidden="0" customHeight="1">
      <x:c r="A138" s="26" t="str">
        <x:v>IDEA-134</x:v>
      </x:c>
      <x:c r="B138" s="26" t="str">
        <x:v>Video concepts</x:v>
      </x:c>
      <x:c r="C138" s="26" t="str">
        <x:v>Sterilization and patient-safety protocol</x:v>
      </x:c>
      <x:c r="D138" s="26" t="str">
        <x:v>Behind-the-scenes video</x:v>
      </x:c>
      <x:c r="E138" s="26" t="str">
        <x:v>Trust-building</x:v>
      </x:c>
      <x:c r="F138" s="26" t="str"/>
      <x:c r="G138" s="26" t="str"/>
      <x:c r="H138" s="26" t="str">
        <x:v>UNUSED</x:v>
      </x:c>
      <x:c r="I138" s="26" t="str">
        <x:v>Brand Brain, GMB and Research content pillars</x:v>
      </x:c>
      <x:c r="J138" s="26" t="str">
        <x:v>Doctor review and consent required where patient/procedure is shown</x:v>
      </x:c>
    </x:row>
    <x:row r="139" ht="15" hidden="0" customHeight="1">
      <x:c r="A139" s="26" t="str">
        <x:v>IDEA-135</x:v>
      </x:c>
      <x:c r="B139" s="26" t="str">
        <x:v>Video concepts</x:v>
      </x:c>
      <x:c r="C139" s="26" t="str">
        <x:v>Monthly research update from Dr. Sanjog</x:v>
      </x:c>
      <x:c r="D139" s="26" t="str">
        <x:v>Authority series</x:v>
      </x:c>
      <x:c r="E139" s="26" t="str">
        <x:v>Research</x:v>
      </x:c>
      <x:c r="F139" s="26" t="str"/>
      <x:c r="G139" s="26" t="str"/>
      <x:c r="H139" s="26" t="str">
        <x:v>UNUSED</x:v>
      </x:c>
      <x:c r="I139" s="26" t="str">
        <x:v>Brand Brain, GMB and Research content pillars</x:v>
      </x:c>
      <x:c r="J139" s="26" t="str">
        <x:v>Doctor review and consent required where patient/procedure is shown</x:v>
      </x:c>
    </x:row>
    <x:row r="140" ht="21.600000381469727" hidden="0" customHeight="1">
      <x:c r="A140" s="26" t="str">
        <x:v>IDEA-136</x:v>
      </x:c>
      <x:c r="B140" s="26" t="str">
        <x:v>Campaigns</x:v>
      </x:c>
      <x:c r="C140" s="26" t="str">
        <x:v>Surgery Avoidance &amp; Second Opinion</x:v>
      </x:c>
      <x:c r="D140" s="26" t="str">
        <x:v>Integrated campaign</x:v>
      </x:c>
      <x:c r="E140" s="26" t="str">
        <x:v>Surgery avoidance</x:v>
      </x:c>
      <x:c r="F140" s="26" t="str"/>
      <x:c r="G140" s="26" t="str"/>
      <x:c r="H140" s="26" t="str">
        <x:v>DRAFT</x:v>
      </x:c>
      <x:c r="I140" s="26" t="str">
        <x:v>Synthesis of SEO, GMB, Research and project task history</x:v>
      </x:c>
      <x:c r="J140" s="26" t="str">
        <x:v>Budget, dates, offer, approval and results not supplied</x:v>
      </x:c>
    </x:row>
    <x:row r="141" ht="21.600000381469727" hidden="0" customHeight="1">
      <x:c r="A141" s="26" t="str">
        <x:v>IDEA-137</x:v>
      </x:c>
      <x:c r="B141" s="26" t="str">
        <x:v>Campaigns</x:v>
      </x:c>
      <x:c r="C141" s="26" t="str">
        <x:v>Regenerative Medicine &amp; PRP Education</x:v>
      </x:c>
      <x:c r="D141" s="26" t="str">
        <x:v>Integrated campaign</x:v>
      </x:c>
      <x:c r="E141" s="26" t="str">
        <x:v>Regenerative medicine</x:v>
      </x:c>
      <x:c r="F141" s="26" t="str"/>
      <x:c r="G141" s="26" t="str"/>
      <x:c r="H141" s="26" t="str">
        <x:v>DRAFT</x:v>
      </x:c>
      <x:c r="I141" s="26" t="str">
        <x:v>Synthesis of SEO, GMB, Research and project task history</x:v>
      </x:c>
      <x:c r="J141" s="26" t="str">
        <x:v>Budget, dates, offer, approval and results not supplied</x:v>
      </x:c>
    </x:row>
    <x:row r="142" ht="21.600000381469727" hidden="0" customHeight="1">
      <x:c r="A142" s="26" t="str">
        <x:v>IDEA-138</x:v>
      </x:c>
      <x:c r="B142" s="26" t="str">
        <x:v>Campaigns</x:v>
      </x:c>
      <x:c r="C142" s="26" t="str">
        <x:v>Knee Pain — Non-Surgical Options</x:v>
      </x:c>
      <x:c r="D142" s="26" t="str">
        <x:v>Integrated campaign</x:v>
      </x:c>
      <x:c r="E142" s="26" t="str">
        <x:v>Knee pain</x:v>
      </x:c>
      <x:c r="F142" s="26" t="str"/>
      <x:c r="G142" s="26" t="str"/>
      <x:c r="H142" s="26" t="str">
        <x:v>DRAFT</x:v>
      </x:c>
      <x:c r="I142" s="26" t="str">
        <x:v>Synthesis of SEO, GMB, Research and project task history</x:v>
      </x:c>
      <x:c r="J142" s="26" t="str">
        <x:v>Budget, dates, offer, approval and results not supplied</x:v>
      </x:c>
    </x:row>
    <x:row r="143" ht="21.600000381469727" hidden="0" customHeight="1">
      <x:c r="A143" s="26" t="str">
        <x:v>IDEA-139</x:v>
      </x:c>
      <x:c r="B143" s="26" t="str">
        <x:v>Campaigns</x:v>
      </x:c>
      <x:c r="C143" s="26" t="str">
        <x:v>Back/Spine Pain for Desk-Job Professionals</x:v>
      </x:c>
      <x:c r="D143" s="26" t="str">
        <x:v>Integrated campaign</x:v>
      </x:c>
      <x:c r="E143" s="26" t="str">
        <x:v>Desk-job pain</x:v>
      </x:c>
      <x:c r="F143" s="26" t="str"/>
      <x:c r="G143" s="26" t="str"/>
      <x:c r="H143" s="26" t="str">
        <x:v>DRAFT</x:v>
      </x:c>
      <x:c r="I143" s="26" t="str">
        <x:v>Synthesis of SEO, GMB, Research and project task history</x:v>
      </x:c>
      <x:c r="J143" s="26" t="str">
        <x:v>Budget, dates, offer, approval and results not supplied</x:v>
      </x:c>
    </x:row>
    <x:row r="144" ht="21.600000381469727" hidden="0" customHeight="1">
      <x:c r="A144" s="26" t="str">
        <x:v>IDEA-140</x:v>
      </x:c>
      <x:c r="B144" s="26" t="str">
        <x:v>Campaigns</x:v>
      </x:c>
      <x:c r="C144" s="26" t="str">
        <x:v>Monsoon Joint Pain</x:v>
      </x:c>
      <x:c r="D144" s="26" t="str">
        <x:v>Integrated campaign</x:v>
      </x:c>
      <x:c r="E144" s="26" t="str">
        <x:v>Seasonal</x:v>
      </x:c>
      <x:c r="F144" s="26" t="str"/>
      <x:c r="G144" s="26" t="str"/>
      <x:c r="H144" s="26" t="str">
        <x:v>DRAFT</x:v>
      </x:c>
      <x:c r="I144" s="26" t="str">
        <x:v>Synthesis of SEO, GMB, Research and project task history</x:v>
      </x:c>
      <x:c r="J144" s="26" t="str">
        <x:v>Budget, dates, offer, approval and results not supplied</x:v>
      </x:c>
    </x:row>
    <x:row r="145" ht="21.600000381469727" hidden="0" customHeight="1">
      <x:c r="A145" s="26" t="str">
        <x:v>IDEA-141</x:v>
      </x:c>
      <x:c r="B145" s="26" t="str">
        <x:v>Campaigns</x:v>
      </x:c>
      <x:c r="C145" s="26" t="str">
        <x:v>Dr. Sanjog Founder Authority</x:v>
      </x:c>
      <x:c r="D145" s="26" t="str">
        <x:v>Integrated campaign</x:v>
      </x:c>
      <x:c r="E145" s="26" t="str">
        <x:v>Founder authority</x:v>
      </x:c>
      <x:c r="F145" s="26" t="str"/>
      <x:c r="G145" s="26" t="str"/>
      <x:c r="H145" s="26" t="str">
        <x:v>DRAFT</x:v>
      </x:c>
      <x:c r="I145" s="26" t="str">
        <x:v>Synthesis of SEO, GMB, Research and project task history</x:v>
      </x:c>
      <x:c r="J145" s="26" t="str">
        <x:v>Budget, dates, offer, approval and results not supplied</x:v>
      </x:c>
    </x:row>
    <x:row r="146" ht="21.600000381469727" hidden="0" customHeight="1">
      <x:c r="A146" s="26" t="str">
        <x:v>IDEA-142</x:v>
      </x:c>
      <x:c r="B146" s="26" t="str">
        <x:v>Campaigns</x:v>
      </x:c>
      <x:c r="C146" s="26" t="str">
        <x:v>Wakad/PCMC/Hinjewadi Local Reach</x:v>
      </x:c>
      <x:c r="D146" s="26" t="str">
        <x:v>Integrated campaign</x:v>
      </x:c>
      <x:c r="E146" s="26" t="str">
        <x:v>Local/community</x:v>
      </x:c>
      <x:c r="F146" s="26" t="str"/>
      <x:c r="G146" s="26" t="str"/>
      <x:c r="H146" s="26" t="str">
        <x:v>DRAFT</x:v>
      </x:c>
      <x:c r="I146" s="26" t="str">
        <x:v>Synthesis of SEO, GMB, Research and project task history</x:v>
      </x:c>
      <x:c r="J146" s="26" t="str">
        <x:v>Budget, dates, offer, approval and results not supplied</x:v>
      </x:c>
    </x:row>
    <x:row r="147" ht="21.600000381469727" hidden="0" customHeight="1">
      <x:c r="A147" s="26" t="str">
        <x:v>IDEA-143</x:v>
      </x:c>
      <x:c r="B147" s="26" t="str">
        <x:v>Campaigns</x:v>
      </x:c>
      <x:c r="C147" s="26" t="str">
        <x:v>GMB 30-Day Growth</x:v>
      </x:c>
      <x:c r="D147" s="26" t="str">
        <x:v>Integrated campaign</x:v>
      </x:c>
      <x:c r="E147" s="26" t="str">
        <x:v>GMB growth</x:v>
      </x:c>
      <x:c r="F147" s="26" t="str"/>
      <x:c r="G147" s="26" t="str"/>
      <x:c r="H147" s="26" t="str">
        <x:v>DRAFT</x:v>
      </x:c>
      <x:c r="I147" s="26" t="str">
        <x:v>Synthesis of SEO, GMB, Research and project task history</x:v>
      </x:c>
      <x:c r="J147" s="26" t="str">
        <x:v>Budget, dates, offer, approval and results not supplied</x:v>
      </x:c>
    </x:row>
    <x:row r="148" ht="21.600000381469727" hidden="0" customHeight="1">
      <x:c r="A148" s="26" t="str">
        <x:v>IDEA-144</x:v>
      </x:c>
      <x:c r="B148" s="26" t="str">
        <x:v>Campaigns</x:v>
      </x:c>
      <x:c r="C148" s="26" t="str">
        <x:v>Review Generation</x:v>
      </x:c>
      <x:c r="D148" s="26" t="str">
        <x:v>Integrated campaign</x:v>
      </x:c>
      <x:c r="E148" s="26" t="str">
        <x:v>Reputation</x:v>
      </x:c>
      <x:c r="F148" s="26" t="str"/>
      <x:c r="G148" s="26" t="str"/>
      <x:c r="H148" s="26" t="str">
        <x:v>DRAFT</x:v>
      </x:c>
      <x:c r="I148" s="26" t="str">
        <x:v>Synthesis of SEO, GMB, Research and project task history</x:v>
      </x:c>
      <x:c r="J148" s="26" t="str">
        <x:v>Budget, dates, offer, approval and results not supplied</x:v>
      </x:c>
    </x:row>
    <x:row r="149" ht="21.600000381469727" hidden="0" customHeight="1">
      <x:c r="A149" s="26" t="str">
        <x:v>IDEA-145</x:v>
      </x:c>
      <x:c r="B149" s="26" t="str">
        <x:v>Campaigns</x:v>
      </x:c>
      <x:c r="C149" s="26" t="str">
        <x:v>Sports Injury Return to Activity</x:v>
      </x:c>
      <x:c r="D149" s="26" t="str">
        <x:v>Integrated campaign</x:v>
      </x:c>
      <x:c r="E149" s="26" t="str">
        <x:v>Sports injury</x:v>
      </x:c>
      <x:c r="F149" s="26" t="str"/>
      <x:c r="G149" s="26" t="str"/>
      <x:c r="H149" s="26" t="str">
        <x:v>DRAFT</x:v>
      </x:c>
      <x:c r="I149" s="26" t="str">
        <x:v>Synthesis of SEO, GMB, Research and project task history</x:v>
      </x:c>
      <x:c r="J149" s="26" t="str">
        <x:v>Budget, dates, offer, approval and results not supplied</x:v>
      </x:c>
    </x:row>
    <x:row r="150" ht="21.600000381469727" hidden="0" customHeight="1">
      <x:c r="A150" s="26" t="str">
        <x:v>IDEA-146</x:v>
      </x:c>
      <x:c r="B150" s="26" t="str">
        <x:v>Campaigns</x:v>
      </x:c>
      <x:c r="C150" s="26" t="str">
        <x:v>SEO Authority Rollout</x:v>
      </x:c>
      <x:c r="D150" s="26" t="str">
        <x:v>Integrated campaign</x:v>
      </x:c>
      <x:c r="E150" s="26" t="str">
        <x:v>SEO/content</x:v>
      </x:c>
      <x:c r="F150" s="26" t="str"/>
      <x:c r="G150" s="26" t="str"/>
      <x:c r="H150" s="26" t="str">
        <x:v>DRAFT</x:v>
      </x:c>
      <x:c r="I150" s="26" t="str">
        <x:v>Synthesis of SEO, GMB, Research and project task history</x:v>
      </x:c>
      <x:c r="J150" s="26" t="str">
        <x:v>Budget, dates, offer, approval and results not supplied</x:v>
      </x:c>
    </x:row>
    <x:row r="151" ht="21.600000381469727" hidden="0" customHeight="1">
      <x:c r="A151" s="26" t="str">
        <x:v>IDEA-147</x:v>
      </x:c>
      <x:c r="B151" s="26" t="str">
        <x:v>Carousels</x:v>
      </x:c>
      <x:c r="C151" s="26" t="str">
        <x:v>Surgery is not always the first answer: five questions before knee replacement</x:v>
      </x:c>
      <x:c r="D151" s="26" t="str">
        <x:v>Educational carousel</x:v>
      </x:c>
      <x:c r="E151" s="26" t="str">
        <x:v>Surgery avoidance</x:v>
      </x:c>
      <x:c r="F151" s="26" t="str"/>
      <x:c r="G151" s="26" t="str"/>
      <x:c r="H151" s="26" t="str">
        <x:v>UNUSED</x:v>
      </x:c>
      <x:c r="I151" s="26" t="str">
        <x:v>Synthesis of SEO/GMB/Brand content clusters</x:v>
      </x:c>
      <x:c r="J151" s="26" t="str">
        <x:v>Doctor review required before publication</x:v>
      </x:c>
    </x:row>
    <x:row r="152" ht="15" hidden="0" customHeight="1">
      <x:c r="A152" s="26" t="str">
        <x:v>IDEA-148</x:v>
      </x:c>
      <x:c r="B152" s="26" t="str">
        <x:v>Carousels</x:v>
      </x:c>
      <x:c r="C152" s="26" t="str">
        <x:v>PRP vs Cortisone vs Hyaluronic Acid: what changes by case</x:v>
      </x:c>
      <x:c r="D152" s="26" t="str">
        <x:v>Educational carousel</x:v>
      </x:c>
      <x:c r="E152" s="26" t="str">
        <x:v>Regenerative medicine</x:v>
      </x:c>
      <x:c r="F152" s="26" t="str"/>
      <x:c r="G152" s="26" t="str"/>
      <x:c r="H152" s="26" t="str">
        <x:v>UNUSED</x:v>
      </x:c>
      <x:c r="I152" s="26" t="str">
        <x:v>Synthesis of SEO/GMB/Brand content clusters</x:v>
      </x:c>
      <x:c r="J152" s="26" t="str">
        <x:v>Doctor review required before publication</x:v>
      </x:c>
    </x:row>
    <x:row r="153" ht="15" hidden="0" customHeight="1">
      <x:c r="A153" s="26" t="str">
        <x:v>IDEA-149</x:v>
      </x:c>
      <x:c r="B153" s="26" t="str">
        <x:v>Carousels</x:v>
      </x:c>
      <x:c r="C153" s="26" t="str">
        <x:v>Pain specialist vs orthopedic surgeon vs physiotherapist</x:v>
      </x:c>
      <x:c r="D153" s="26" t="str">
        <x:v>Educational carousel</x:v>
      </x:c>
      <x:c r="E153" s="26" t="str">
        <x:v>Specialist authority</x:v>
      </x:c>
      <x:c r="F153" s="26" t="str"/>
      <x:c r="G153" s="26" t="str"/>
      <x:c r="H153" s="26" t="str">
        <x:v>UNUSED</x:v>
      </x:c>
      <x:c r="I153" s="26" t="str">
        <x:v>Synthesis of SEO/GMB/Brand content clusters</x:v>
      </x:c>
      <x:c r="J153" s="26" t="str">
        <x:v>Doctor review required before publication</x:v>
      </x:c>
    </x:row>
    <x:row r="154" ht="15" hidden="0" customHeight="1">
      <x:c r="A154" s="26" t="str">
        <x:v>IDEA-150</x:v>
      </x:c>
      <x:c r="B154" s="26" t="str">
        <x:v>Carousels</x:v>
      </x:c>
      <x:c r="C154" s="26" t="str">
        <x:v>What your MRI says — and what it does not say</x:v>
      </x:c>
      <x:c r="D154" s="26" t="str">
        <x:v>Educational carousel</x:v>
      </x:c>
      <x:c r="E154" s="26" t="str">
        <x:v>Diagnostic clarity</x:v>
      </x:c>
      <x:c r="F154" s="26" t="str"/>
      <x:c r="G154" s="26" t="str"/>
      <x:c r="H154" s="26" t="str">
        <x:v>UNUSED</x:v>
      </x:c>
      <x:c r="I154" s="26" t="str">
        <x:v>Synthesis of SEO/GMB/Brand content clusters</x:v>
      </x:c>
      <x:c r="J154" s="26" t="str">
        <x:v>Doctor review required before publication</x:v>
      </x:c>
    </x:row>
    <x:row r="155" ht="15" hidden="0" customHeight="1">
      <x:c r="A155" s="26" t="str">
        <x:v>IDEA-151</x:v>
      </x:c>
      <x:c r="B155" s="26" t="str">
        <x:v>Carousels</x:v>
      </x:c>
      <x:c r="C155" s="26" t="str">
        <x:v>Five myths about slipped discs</x:v>
      </x:c>
      <x:c r="D155" s="26" t="str">
        <x:v>Educational carousel</x:v>
      </x:c>
      <x:c r="E155" s="26" t="str">
        <x:v>Myth-busting</x:v>
      </x:c>
      <x:c r="F155" s="26" t="str"/>
      <x:c r="G155" s="26" t="str"/>
      <x:c r="H155" s="26" t="str">
        <x:v>UNUSED</x:v>
      </x:c>
      <x:c r="I155" s="26" t="str">
        <x:v>Synthesis of SEO/GMB/Brand content clusters</x:v>
      </x:c>
      <x:c r="J155" s="26" t="str">
        <x:v>Doctor review required before publication</x:v>
      </x:c>
    </x:row>
    <x:row r="156" ht="15" hidden="0" customHeight="1">
      <x:c r="A156" s="26" t="str">
        <x:v>IDEA-152</x:v>
      </x:c>
      <x:c r="B156" s="26" t="str">
        <x:v>Carousels</x:v>
      </x:c>
      <x:c r="C156" s="26" t="str">
        <x:v>How a pain-management consultation works</x:v>
      </x:c>
      <x:c r="D156" s="26" t="str">
        <x:v>Educational carousel</x:v>
      </x:c>
      <x:c r="E156" s="26" t="str">
        <x:v>Trust-building</x:v>
      </x:c>
      <x:c r="F156" s="26" t="str"/>
      <x:c r="G156" s="26" t="str"/>
      <x:c r="H156" s="26" t="str">
        <x:v>UNUSED</x:v>
      </x:c>
      <x:c r="I156" s="26" t="str">
        <x:v>Synthesis of SEO/GMB/Brand content clusters</x:v>
      </x:c>
      <x:c r="J156" s="26" t="str">
        <x:v>Doctor review required before publication</x:v>
      </x:c>
    </x:row>
    <x:row r="157" ht="15" hidden="0" customHeight="1">
      <x:c r="A157" s="26" t="str">
        <x:v>IDEA-153</x:v>
      </x:c>
      <x:c r="B157" s="26" t="str">
        <x:v>Carousels</x:v>
      </x:c>
      <x:c r="C157" s="26" t="str">
        <x:v>Back pain red flags vs common mechanical pain</x:v>
      </x:c>
      <x:c r="D157" s="26" t="str">
        <x:v>Educational carousel</x:v>
      </x:c>
      <x:c r="E157" s="26" t="str">
        <x:v>Condition education</x:v>
      </x:c>
      <x:c r="F157" s="26" t="str"/>
      <x:c r="G157" s="26" t="str"/>
      <x:c r="H157" s="26" t="str">
        <x:v>UNUSED</x:v>
      </x:c>
      <x:c r="I157" s="26" t="str">
        <x:v>Synthesis of SEO/GMB/Brand content clusters</x:v>
      </x:c>
      <x:c r="J157" s="26" t="str">
        <x:v>Doctor review required before publication</x:v>
      </x:c>
    </x:row>
    <x:row r="158" ht="15" hidden="0" customHeight="1">
      <x:c r="A158" s="26" t="str">
        <x:v>IDEA-154</x:v>
      </x:c>
      <x:c r="B158" s="26" t="str">
        <x:v>Carousels</x:v>
      </x:c>
      <x:c r="C158" s="26" t="str">
        <x:v>What to bring for a second-opinion appointment</x:v>
      </x:c>
      <x:c r="D158" s="26" t="str">
        <x:v>Educational carousel</x:v>
      </x:c>
      <x:c r="E158" s="26" t="str">
        <x:v>Surgery avoidance</x:v>
      </x:c>
      <x:c r="F158" s="26" t="str"/>
      <x:c r="G158" s="26" t="str"/>
      <x:c r="H158" s="26" t="str">
        <x:v>UNUSED</x:v>
      </x:c>
      <x:c r="I158" s="26" t="str">
        <x:v>Synthesis of SEO/GMB/Brand content clusters</x:v>
      </x:c>
      <x:c r="J158" s="26" t="str">
        <x:v>Doctor review required before publication</x:v>
      </x:c>
    </x:row>
    <x:row r="159" ht="15" hidden="0" customHeight="1">
      <x:c r="A159" s="26" t="str">
        <x:v>IDEA-155</x:v>
      </x:c>
      <x:c r="B159" s="26" t="str">
        <x:v>Carousels</x:v>
      </x:c>
      <x:c r="C159" s="26" t="str">
        <x:v>PRP candidacy: who may and may not be suitable</x:v>
      </x:c>
      <x:c r="D159" s="26" t="str">
        <x:v>Educational carousel</x:v>
      </x:c>
      <x:c r="E159" s="26" t="str">
        <x:v>Regenerative medicine</x:v>
      </x:c>
      <x:c r="F159" s="26" t="str"/>
      <x:c r="G159" s="26" t="str"/>
      <x:c r="H159" s="26" t="str">
        <x:v>UNUSED</x:v>
      </x:c>
      <x:c r="I159" s="26" t="str">
        <x:v>Synthesis of SEO/GMB/Brand content clusters</x:v>
      </x:c>
      <x:c r="J159" s="26" t="str">
        <x:v>Doctor review required before publication</x:v>
      </x:c>
    </x:row>
    <x:row r="160" ht="15" hidden="0" customHeight="1">
      <x:c r="A160" s="26" t="str">
        <x:v>IDEA-156</x:v>
      </x:c>
      <x:c r="B160" s="26" t="str">
        <x:v>Carousels</x:v>
      </x:c>
      <x:c r="C160" s="26" t="str">
        <x:v>Image-guided procedures: C-arm vs ultrasound guidance</x:v>
      </x:c>
      <x:c r="D160" s="26" t="str">
        <x:v>Educational carousel</x:v>
      </x:c>
      <x:c r="E160" s="26" t="str">
        <x:v>Treatment explained</x:v>
      </x:c>
      <x:c r="F160" s="26" t="str"/>
      <x:c r="G160" s="26" t="str"/>
      <x:c r="H160" s="26" t="str">
        <x:v>UNUSED</x:v>
      </x:c>
      <x:c r="I160" s="26" t="str">
        <x:v>Synthesis of SEO/GMB/Brand content clusters</x:v>
      </x:c>
      <x:c r="J160" s="26" t="str">
        <x:v>Doctor review required before publication</x:v>
      </x:c>
    </x:row>
  </x:sheetData>
  <x:mergeCells>
    <x:mergeCell ref="A1:J1"/>
    <x:mergeCell ref="A2:J2"/>
  </x:mergeCells>
  <x:conditionalFormatting sqref="A5:J160">
    <x:cfRule type="expression" dxfId="2" priority="1">
      <x:formula>MOD(ROW(),2)=0</x:formula>
    </x:cfRule>
  </x:conditionalFormatting>
  <x:conditionalFormatting sqref="H5:H160">
    <x:cfRule type="expression" dxfId="3" priority="2">
      <x:formula>H5="NEEDS_REVIEW"</x:formula>
    </x:cfRule>
    <x:cfRule type="expression" dxfId="4" priority="3">
      <x:formula>H5="DUPLICATE"</x:formula>
    </x:cfRule>
  </x:conditionalFormatting>
  <x:dataValidations count="1">
    <x:dataValidation type="list" sqref="H5:H160">
      <x:formula1>"USED,APPROVED_NOT_USED,DRAFT,UNUSED,REJECTED,DUPLICATE,NEEDS_REVIEW"</x:formula1>
    </x:dataValidation>
  </x:dataValidations>
  <x:pageMargins left="0.7" right="0.7" top="0.75" bottom="0.75" header="0.3" footer="0.3"/>
  <x:tableParts count="1">
    <x:tablePart xmlns:r="http://schemas.openxmlformats.org/officeDocument/2006/relationships" r:id="R28b17d4c13b74581"/>
  </x:tableParts>
</x:worksheet>
</file>

<file path=xl/worksheets/sheet5.xml><?xml version="1.0" encoding="utf-8"?>
<x:worksheet xmlns:x="http://schemas.openxmlformats.org/spreadsheetml/2006/main">
  <x:sheetFormatPr defaultRowHeight="15"/>
  <x:cols>
    <x:col min="1" max="1" width="12" hidden="0" customWidth="1"/>
    <x:col min="2" max="2" width="22" hidden="0" customWidth="1"/>
    <x:col min="3" max="3" width="55" hidden="0" customWidth="1"/>
    <x:col min="4" max="4" width="28" hidden="0" customWidth="1"/>
    <x:col min="5" max="5" width="16" hidden="0" customWidth="1"/>
    <x:col min="6" max="6" width="35" hidden="0" customWidth="1"/>
  </x:cols>
  <x:sheetData>
    <x:row r="1" ht="19.200000762939453" hidden="0" customHeight="1">
      <x:c r="A1" s="5" t="str">
        <x:v>Script Register and Fragment Library</x:v>
      </x:c>
      <x:c r="B1" s="5"/>
      <x:c r="C1" s="5"/>
      <x:c r="D1" s="5"/>
      <x:c r="E1" s="5"/>
      <x:c r="F1" s="5"/>
    </x:row>
    <x:row r="2" ht="15" hidden="0" customHeight="1">
      <x:c r="A2" s="11" t="str">
        <x:v>Jeevisha Client Handover · Updated 2026-07-16 · statuses are evidence-based</x:v>
      </x:c>
      <x:c r="B2" s="11"/>
      <x:c r="C2" s="11"/>
      <x:c r="D2" s="11"/>
      <x:c r="E2" s="11"/>
      <x:c r="F2" s="11"/>
    </x:row>
    <x:row r="3"/>
    <x:row r="4" ht="15" hidden="0" customHeight="1">
      <x:c r="A4" s="18" t="str">
        <x:v>Record_ID</x:v>
      </x:c>
      <x:c r="B4" s="18" t="str">
        <x:v>Type</x:v>
      </x:c>
      <x:c r="C4" s="18" t="str">
        <x:v>Text_or_Title</x:v>
      </x:c>
      <x:c r="D4" s="18" t="str">
        <x:v>Use</x:v>
      </x:c>
      <x:c r="E4" s="18" t="str">
        <x:v>Status</x:v>
      </x:c>
      <x:c r="F4" s="18" t="str">
        <x:v>Source</x:v>
      </x:c>
    </x:row>
    <x:row r="5" ht="15" hidden="0" customHeight="1">
      <x:c r="A5" s="26" t="str">
        <x:v>SCRIPT-000</x:v>
      </x:c>
      <x:c r="B5" s="26" t="str">
        <x:v>Production script</x:v>
      </x:c>
      <x:c r="C5" s="26" t="str">
        <x:v>No complete production scripts found</x:v>
      </x:c>
      <x:c r="D5" s="26" t="str">
        <x:v>Gap / task</x:v>
      </x:c>
      <x:c r="E5" s="26" t="str">
        <x:v>MISSING</x:v>
      </x:c>
      <x:c r="F5" s="26" t="str">
        <x:v>Full accessible project search</x:v>
      </x:c>
    </x:row>
    <x:row r="6" ht="15" hidden="0" customHeight="1">
      <x:c r="A6" s="26" t="str">
        <x:v>FRAG-01</x:v>
      </x:c>
      <x:c r="B6" s="26" t="str">
        <x:v>HOOK</x:v>
      </x:c>
      <x:c r="C6" s="26" t="str">
        <x:v>तो 9 बोटांनी typing करायचा</x:v>
      </x:c>
      <x:c r="D6" s="26" t="str">
        <x:v>Opening 2–4 lines</x:v>
      </x:c>
      <x:c r="E6" s="26" t="str">
        <x:v>REFERENCE</x:v>
      </x:c>
      <x:c r="F6" s="26" t="str">
        <x:v>Jeevisha Marathi Text Overlay Script.txt</x:v>
      </x:c>
    </x:row>
    <x:row r="7" ht="15" hidden="0" customHeight="1">
      <x:c r="A7" s="26" t="str">
        <x:v>FRAG-02</x:v>
      </x:c>
      <x:c r="B7" s="26" t="str">
        <x:v>HOOK</x:v>
      </x:c>
      <x:c r="C7" s="26" t="str">
        <x:v>तीने बाहेर जाणं बंद केलं</x:v>
      </x:c>
      <x:c r="D7" s="26" t="str">
        <x:v>Opening 2–4 lines</x:v>
      </x:c>
      <x:c r="E7" s="26" t="str">
        <x:v>REFERENCE</x:v>
      </x:c>
      <x:c r="F7" s="26" t="str">
        <x:v>Jeevisha Marathi Text Overlay Script.txt</x:v>
      </x:c>
    </x:row>
    <x:row r="8" ht="15" hidden="0" customHeight="1">
      <x:c r="A8" s="26" t="str">
        <x:v>FRAG-03</x:v>
      </x:c>
      <x:c r="B8" s="26" t="str">
        <x:v>HOOK</x:v>
      </x:c>
      <x:c r="C8" s="26" t="str">
        <x:v>त्याने खाणं बंद केलं होतं</x:v>
      </x:c>
      <x:c r="D8" s="26" t="str">
        <x:v>Opening 2–4 lines</x:v>
      </x:c>
      <x:c r="E8" s="26" t="str">
        <x:v>REFERENCE</x:v>
      </x:c>
      <x:c r="F8" s="26" t="str">
        <x:v>Jeevisha Marathi Text Overlay Script.txt</x:v>
      </x:c>
    </x:row>
    <x:row r="9" ht="15" hidden="0" customHeight="1">
      <x:c r="A9" s="26" t="str">
        <x:v>FRAG-04</x:v>
      </x:c>
      <x:c r="B9" s="26" t="str">
        <x:v>HOOK</x:v>
      </x:c>
      <x:c r="C9" s="26" t="str">
        <x:v>4 महिन्यांपासून तो bed वर झोपलाच नव्हता</x:v>
      </x:c>
      <x:c r="D9" s="26" t="str">
        <x:v>Opening 2–4 lines</x:v>
      </x:c>
      <x:c r="E9" s="26" t="str">
        <x:v>REFERENCE</x:v>
      </x:c>
      <x:c r="F9" s="26" t="str">
        <x:v>Jeevisha Marathi Text Overlay Script.txt</x:v>
      </x:c>
    </x:row>
    <x:row r="10" ht="15" hidden="0" customHeight="1">
      <x:c r="A10" s="26" t="str">
        <x:v>FRAG-05</x:v>
      </x:c>
      <x:c r="B10" s="26" t="str">
        <x:v>HUMAN_SUFFERING</x:v>
      </x:c>
      <x:c r="C10" s="26" t="str">
        <x:v>Manager ला कळलं तर job जाईल</x:v>
      </x:c>
      <x:c r="D10" s="26" t="str">
        <x:v>Daily-life/emotional impact</x:v>
      </x:c>
      <x:c r="E10" s="26" t="str">
        <x:v>REFERENCE</x:v>
      </x:c>
      <x:c r="F10" s="26" t="str">
        <x:v>Jeevisha Marathi Text Overlay Script.txt</x:v>
      </x:c>
    </x:row>
    <x:row r="11" ht="15" hidden="0" customHeight="1">
      <x:c r="A11" s="26" t="str">
        <x:v>FRAG-06</x:v>
      </x:c>
      <x:c r="B11" s="26" t="str">
        <x:v>HUMAN_SUFFERING</x:v>
      </x:c>
      <x:c r="C11" s="26" t="str">
        <x:v>नातवंडांनाही ओळखू शकत नव्हता</x:v>
      </x:c>
      <x:c r="D11" s="26" t="str">
        <x:v>Daily-life/emotional impact</x:v>
      </x:c>
      <x:c r="E11" s="26" t="str">
        <x:v>REFERENCE</x:v>
      </x:c>
      <x:c r="F11" s="26" t="str">
        <x:v>Jeevisha Marathi Text Overlay Script.txt</x:v>
      </x:c>
    </x:row>
    <x:row r="12" ht="15" hidden="0" customHeight="1">
      <x:c r="A12" s="26" t="str">
        <x:v>FRAG-07</x:v>
      </x:c>
      <x:c r="B12" s="26" t="str">
        <x:v>HUMAN_SUFFERING</x:v>
      </x:c>
      <x:c r="C12" s="26" t="str">
        <x:v>स्वतःच्या मुलालाही स्पर्श करू देत नव्हती</x:v>
      </x:c>
      <x:c r="D12" s="26" t="str">
        <x:v>Daily-life/emotional impact</x:v>
      </x:c>
      <x:c r="E12" s="26" t="str">
        <x:v>REFERENCE</x:v>
      </x:c>
      <x:c r="F12" s="26" t="str">
        <x:v>Jeevisha Marathi Text Overlay Script.txt</x:v>
      </x:c>
    </x:row>
    <x:row r="13" ht="15" hidden="0" customHeight="1">
      <x:c r="A13" s="26" t="str">
        <x:v>FRAG-08</x:v>
      </x:c>
      <x:c r="B13" s="26" t="str">
        <x:v>HUMAN_SUFFERING</x:v>
      </x:c>
      <x:c r="C13" s="26" t="str">
        <x:v>Surgery चा डर pain पेक्षा मोठा होता</x:v>
      </x:c>
      <x:c r="D13" s="26" t="str">
        <x:v>Daily-life/emotional impact</x:v>
      </x:c>
      <x:c r="E13" s="26" t="str">
        <x:v>REFERENCE</x:v>
      </x:c>
      <x:c r="F13" s="26" t="str">
        <x:v>Jeevisha Marathi Text Overlay Script.txt</x:v>
      </x:c>
    </x:row>
    <x:row r="14" ht="15" hidden="0" customHeight="1">
      <x:c r="A14" s="26" t="str">
        <x:v>FRAG-09</x:v>
      </x:c>
      <x:c r="B14" s="26" t="str">
        <x:v>TURNING_POINT</x:v>
      </x:c>
      <x:c r="C14" s="26" t="str">
        <x:v>Pain movement मध्ये नव्हता — rest मध्ये होता</x:v>
      </x:c>
      <x:c r="D14" s="26" t="str">
        <x:v>Diagnostic clue/authority moment</x:v>
      </x:c>
      <x:c r="E14" s="26" t="str">
        <x:v>REFERENCE</x:v>
      </x:c>
      <x:c r="F14" s="26" t="str">
        <x:v>Jeevisha Marathi Text Overlay Script.txt</x:v>
      </x:c>
    </x:row>
    <x:row r="15" ht="15" hidden="0" customHeight="1">
      <x:c r="A15" s="26" t="str">
        <x:v>FRAG-10</x:v>
      </x:c>
      <x:c r="B15" s="26" t="str">
        <x:v>TURNING_POINT</x:v>
      </x:c>
      <x:c r="C15" s="26" t="str">
        <x:v>MRI मध्ये exactly कोणती nerve दबली आहे दिसलं</x:v>
      </x:c>
      <x:c r="D15" s="26" t="str">
        <x:v>Diagnostic clue/authority moment</x:v>
      </x:c>
      <x:c r="E15" s="26" t="str">
        <x:v>REFERENCE</x:v>
      </x:c>
      <x:c r="F15" s="26" t="str">
        <x:v>Jeevisha Marathi Text Overlay Script.txt</x:v>
      </x:c>
    </x:row>
    <x:row r="16" ht="15" hidden="0" customHeight="1">
      <x:c r="A16" s="26" t="str">
        <x:v>FRAG-11</x:v>
      </x:c>
      <x:c r="B16" s="26" t="str">
        <x:v>TURNING_POINT</x:v>
      </x:c>
      <x:c r="C16" s="26" t="str">
        <x:v>हा gynaec problem नव्हताच</x:v>
      </x:c>
      <x:c r="D16" s="26" t="str">
        <x:v>Diagnostic clue/authority moment</x:v>
      </x:c>
      <x:c r="E16" s="26" t="str">
        <x:v>REFERENCE</x:v>
      </x:c>
      <x:c r="F16" s="26" t="str">
        <x:v>Jeevisha Marathi Text Overlay Script.txt</x:v>
      </x:c>
    </x:row>
    <x:row r="17" ht="15" hidden="0" customHeight="1">
      <x:c r="A17" s="26" t="str">
        <x:v>FRAG-12</x:v>
      </x:c>
      <x:c r="B17" s="26" t="str">
        <x:v>PROCEDURE_LANGUAGE</x:v>
      </x:c>
      <x:c r="C17" s="26" t="str">
        <x:v>One needle. Imaging. Precision.</x:v>
      </x:c>
      <x:c r="D17" s="26" t="str">
        <x:v>Minimal, precise treatment description</x:v>
      </x:c>
      <x:c r="E17" s="26" t="str">
        <x:v>REFERENCE</x:v>
      </x:c>
      <x:c r="F17" s="26" t="str">
        <x:v>Jeevisha Marathi Text Overlay Script.txt</x:v>
      </x:c>
    </x:row>
    <x:row r="18" ht="15" hidden="0" customHeight="1">
      <x:c r="A18" s="26" t="str">
        <x:v>FRAG-13</x:v>
      </x:c>
      <x:c r="B18" s="26" t="str">
        <x:v>PROCEDURE_LANGUAGE</x:v>
      </x:c>
      <x:c r="C18" s="26" t="str">
        <x:v>nerve पर्यंत थेट पोहोचलो</x:v>
      </x:c>
      <x:c r="D18" s="26" t="str">
        <x:v>Minimal, precise treatment description</x:v>
      </x:c>
      <x:c r="E18" s="26" t="str">
        <x:v>REFERENCE</x:v>
      </x:c>
      <x:c r="F18" s="26" t="str">
        <x:v>Jeevisha Marathi Text Overlay Script.txt</x:v>
      </x:c>
    </x:row>
    <x:row r="19" ht="15" hidden="0" customHeight="1">
      <x:c r="A19" s="26" t="str">
        <x:v>FRAG-14</x:v>
      </x:c>
      <x:c r="B19" s="26" t="str">
        <x:v>PROCEDURE_LANGUAGE</x:v>
      </x:c>
      <x:c r="C19" s="26" t="str">
        <x:v>Ultrasound guidance ने</x:v>
      </x:c>
      <x:c r="D19" s="26" t="str">
        <x:v>Minimal, precise treatment description</x:v>
      </x:c>
      <x:c r="E19" s="26" t="str">
        <x:v>REFERENCE</x:v>
      </x:c>
      <x:c r="F19" s="26" t="str">
        <x:v>Jeevisha Marathi Text Overlay Script.txt</x:v>
      </x:c>
    </x:row>
    <x:row r="20" ht="15" hidden="0" customHeight="1">
      <x:c r="A20" s="26" t="str">
        <x:v>FRAG-15</x:v>
      </x:c>
      <x:c r="B20" s="26" t="str">
        <x:v>PROCEDURE_LANGUAGE</x:v>
      </x:c>
      <x:c r="C20" s="26" t="str">
        <x:v>targeted block</x:v>
      </x:c>
      <x:c r="D20" s="26" t="str">
        <x:v>Minimal, precise treatment description</x:v>
      </x:c>
      <x:c r="E20" s="26" t="str">
        <x:v>REFERENCE</x:v>
      </x:c>
      <x:c r="F20" s="26" t="str">
        <x:v>Jeevisha Marathi Text Overlay Script.txt</x:v>
      </x:c>
    </x:row>
    <x:row r="21" ht="15" hidden="0" customHeight="1">
      <x:c r="A21" s="26" t="str">
        <x:v>FRAG-16</x:v>
      </x:c>
      <x:c r="B21" s="26" t="str">
        <x:v>PROCEDURE_LANGUAGE</x:v>
      </x:c>
      <x:c r="C21" s="26" t="str">
        <x:v>exact source</x:v>
      </x:c>
      <x:c r="D21" s="26" t="str">
        <x:v>Minimal, precise treatment description</x:v>
      </x:c>
      <x:c r="E21" s="26" t="str">
        <x:v>REFERENCE</x:v>
      </x:c>
      <x:c r="F21" s="26" t="str">
        <x:v>Jeevisha Marathi Text Overlay Script.txt</x:v>
      </x:c>
    </x:row>
    <x:row r="22" ht="15" hidden="0" customHeight="1">
      <x:c r="A22" s="26" t="str">
        <x:v>FRAG-17</x:v>
      </x:c>
      <x:c r="B22" s="26" t="str">
        <x:v>EMOTIONAL_RESOLUTION</x:v>
      </x:c>
      <x:c r="C22" s="26" t="str">
        <x:v>त्याने स्वतः नाश्ता बनवला</x:v>
      </x:c>
      <x:c r="D22" s="26" t="str">
        <x:v>Functional/human payoff</x:v>
      </x:c>
      <x:c r="E22" s="26" t="str">
        <x:v>REFERENCE</x:v>
      </x:c>
      <x:c r="F22" s="26" t="str">
        <x:v>Jeevisha Marathi Text Overlay Script.txt</x:v>
      </x:c>
    </x:row>
    <x:row r="23" ht="15" hidden="0" customHeight="1">
      <x:c r="A23" s="26" t="str">
        <x:v>FRAG-18</x:v>
      </x:c>
      <x:c r="B23" s="26" t="str">
        <x:v>EMOTIONAL_RESOLUTION</x:v>
      </x:c>
      <x:c r="C23" s="26" t="str">
        <x:v>ती walk ला गेली</x:v>
      </x:c>
      <x:c r="D23" s="26" t="str">
        <x:v>Functional/human payoff</x:v>
      </x:c>
      <x:c r="E23" s="26" t="str">
        <x:v>REFERENCE</x:v>
      </x:c>
      <x:c r="F23" s="26" t="str">
        <x:v>Jeevisha Marathi Text Overlay Script.txt</x:v>
      </x:c>
    </x:row>
    <x:row r="24" ht="15" hidden="0" customHeight="1">
      <x:c r="A24" s="26" t="str">
        <x:v>FRAG-19</x:v>
      </x:c>
      <x:c r="B24" s="26" t="str">
        <x:v>EMOTIONAL_RESOLUTION</x:v>
      </x:c>
      <x:c r="C24" s="26" t="str">
        <x:v>तो parking मध्ये रडला</x:v>
      </x:c>
      <x:c r="D24" s="26" t="str">
        <x:v>Functional/human payoff</x:v>
      </x:c>
      <x:c r="E24" s="26" t="str">
        <x:v>REFERENCE</x:v>
      </x:c>
      <x:c r="F24" s="26" t="str">
        <x:v>Jeevisha Marathi Text Overlay Script.txt</x:v>
      </x:c>
    </x:row>
    <x:row r="25" ht="15" hidden="0" customHeight="1">
      <x:c r="A25" s="26" t="str">
        <x:v>FRAG-20</x:v>
      </x:c>
      <x:c r="B25" s="26" t="str">
        <x:v>EMOTIONAL_RESOLUTION</x:v>
      </x:c>
      <x:c r="C25" s="26" t="str">
        <x:v>त्याने मुलाचा हात धरला</x:v>
      </x:c>
      <x:c r="D25" s="26" t="str">
        <x:v>Functional/human payoff</x:v>
      </x:c>
      <x:c r="E25" s="26" t="str">
        <x:v>REFERENCE</x:v>
      </x:c>
      <x:c r="F25" s="26" t="str">
        <x:v>Jeevisha Marathi Text Overlay Script.txt</x:v>
      </x:c>
    </x:row>
    <x:row r="26" ht="15" hidden="0" customHeight="1">
      <x:c r="A26" s="26" t="str">
        <x:v>FRAG-21</x:v>
      </x:c>
      <x:c r="B26" s="26" t="str">
        <x:v>SOFT_CTA</x:v>
      </x:c>
      <x:c r="C26" s="26" t="str">
        <x:v>Follow करा</x:v>
      </x:c>
      <x:c r="D26" s="26" t="str">
        <x:v>Subtle close</x:v>
      </x:c>
      <x:c r="E26" s="26" t="str">
        <x:v>REFERENCE</x:v>
      </x:c>
      <x:c r="F26" s="26" t="str">
        <x:v>Jeevisha Marathi Text Overlay Script.txt</x:v>
      </x:c>
    </x:row>
    <x:row r="27" ht="15" hidden="0" customHeight="1">
      <x:c r="A27" s="26" t="str">
        <x:v>FRAG-22</x:v>
      </x:c>
      <x:c r="B27" s="26" t="str">
        <x:v>SOFT_CTA</x:v>
      </x:c>
      <x:c r="C27" s="26" t="str">
        <x:v>Save करा</x:v>
      </x:c>
      <x:c r="D27" s="26" t="str">
        <x:v>Subtle close</x:v>
      </x:c>
      <x:c r="E27" s="26" t="str">
        <x:v>REFERENCE</x:v>
      </x:c>
      <x:c r="F27" s="26" t="str">
        <x:v>Jeevisha Marathi Text Overlay Script.txt</x:v>
      </x:c>
    </x:row>
    <x:row r="28" ht="15" hidden="0" customHeight="1">
      <x:c r="A28" s="26" t="str">
        <x:v>FRAG-23</x:v>
      </x:c>
      <x:c r="B28" s="26" t="str">
        <x:v>SOFT_CTA</x:v>
      </x:c>
      <x:c r="C28" s="26" t="str">
        <x:v>Share करा</x:v>
      </x:c>
      <x:c r="D28" s="26" t="str">
        <x:v>Subtle close</x:v>
      </x:c>
      <x:c r="E28" s="26" t="str">
        <x:v>REFERENCE</x:v>
      </x:c>
      <x:c r="F28" s="26" t="str">
        <x:v>Jeevisha Marathi Text Overlay Script.txt</x:v>
      </x:c>
    </x:row>
    <x:row r="29" ht="15" hidden="0" customHeight="1">
      <x:c r="A29" s="26" t="str">
        <x:v>FRAG-24</x:v>
      </x:c>
      <x:c r="B29" s="26" t="str">
        <x:v>SOFT_CTA</x:v>
      </x:c>
      <x:c r="C29" s="26" t="str">
        <x:v>Someone at home needs to know this exists</x:v>
      </x:c>
      <x:c r="D29" s="26" t="str">
        <x:v>Subtle close</x:v>
      </x:c>
      <x:c r="E29" s="26" t="str">
        <x:v>REFERENCE</x:v>
      </x:c>
      <x:c r="F29" s="26" t="str">
        <x:v>Jeevisha Marathi Text Overlay Script.txt</x:v>
      </x:c>
    </x:row>
  </x:sheetData>
  <x:mergeCells>
    <x:mergeCell ref="A1:F1"/>
    <x:mergeCell ref="A2:F2"/>
  </x:mergeCells>
  <x:conditionalFormatting sqref="A5:F29">
    <x:cfRule type="expression" dxfId="5" priority="1">
      <x:formula>MOD(ROW(),2)=0</x:formula>
    </x:cfRule>
  </x:conditionalFormatting>
  <x:pageMargins left="0.7" right="0.7" top="0.75" bottom="0.75" header="0.3" footer="0.3"/>
  <x:tableParts count="1">
    <x:tablePart xmlns:r="http://schemas.openxmlformats.org/officeDocument/2006/relationships" r:id="R025036c9f90f415f"/>
  </x:tableParts>
</x:worksheet>
</file>

<file path=xl/worksheets/sheet6.xml><?xml version="1.0" encoding="utf-8"?>
<x:worksheet xmlns:x="http://schemas.openxmlformats.org/spreadsheetml/2006/main">
  <x:sheetFormatPr defaultRowHeight="15"/>
  <x:cols>
    <x:col min="1" max="1" width="12" hidden="0" customWidth="1"/>
    <x:col min="2" max="2" width="25" hidden="0" customWidth="1"/>
    <x:col min="3" max="3" width="22" hidden="0" customWidth="1"/>
    <x:col min="4" max="4" width="38" hidden="0" customWidth="1"/>
    <x:col min="5" max="5" width="75" hidden="0" customWidth="1"/>
    <x:col min="6" max="6" width="16" hidden="0" customWidth="1"/>
    <x:col min="7" max="7" width="45" hidden="0" customWidth="1"/>
    <x:col min="8" max="8" width="30" hidden="0" customWidth="1"/>
  </x:cols>
  <x:sheetData>
    <x:row r="1" ht="19.200000762939453" hidden="0" customHeight="1">
      <x:c r="A1" s="5" t="str">
        <x:v>Captions and Copy Register</x:v>
      </x:c>
      <x:c r="B1" s="5"/>
      <x:c r="C1" s="5"/>
      <x:c r="D1" s="5"/>
      <x:c r="E1" s="5"/>
      <x:c r="F1" s="5"/>
      <x:c r="G1" s="5"/>
      <x:c r="H1" s="5"/>
    </x:row>
    <x:row r="2" ht="15" hidden="0" customHeight="1">
      <x:c r="A2" s="11" t="str">
        <x:v>Jeevisha Client Handover · Updated 2026-07-16 · statuses are evidence-based</x:v>
      </x:c>
      <x:c r="B2" s="11"/>
      <x:c r="C2" s="11"/>
      <x:c r="D2" s="11"/>
      <x:c r="E2" s="11"/>
      <x:c r="F2" s="11"/>
      <x:c r="G2" s="11"/>
      <x:c r="H2" s="11"/>
    </x:row>
    <x:row r="3"/>
    <x:row r="4" ht="15" hidden="0" customHeight="1">
      <x:c r="A4" s="18" t="str">
        <x:v>Copy_ID</x:v>
      </x:c>
      <x:c r="B4" s="18" t="str">
        <x:v>Channel</x:v>
      </x:c>
      <x:c r="C4" s="18" t="str">
        <x:v>Copy_Type</x:v>
      </x:c>
      <x:c r="D4" s="18" t="str">
        <x:v>Title</x:v>
      </x:c>
      <x:c r="E4" s="18" t="str">
        <x:v>Copy</x:v>
      </x:c>
      <x:c r="F4" s="18" t="str">
        <x:v>Status</x:v>
      </x:c>
      <x:c r="G4" s="18" t="str">
        <x:v>Risk_or_Note</x:v>
      </x:c>
      <x:c r="H4" s="18" t="str">
        <x:v>Source</x:v>
      </x:c>
    </x:row>
    <x:row r="5" ht="378" hidden="0" customHeight="1">
      <x:c r="A5" s="26" t="str">
        <x:v>SOC-CAP-01</x:v>
      </x:c>
      <x:c r="B5" s="26" t="str">
        <x:v>Instagram/Facebook</x:v>
      </x:c>
      <x:c r="C5" s="26" t="str">
        <x:v>Reel caption</x:v>
      </x:c>
      <x:c r="D5" s="26" t="str">
        <x:v>Cervical nerve compression / numbness</x:v>
      </x:c>
      <x:c r="E5" s="26" t="str">
        <x:v>Not all spine problems look like neck pain.
Sometimes, they show up as something much easier to ignore.
Finger numbness.
Weak grip.
Difficulty typing.
A strange loss of sensation you keep hoping will go away.
And because the pain isn’t always dramatic,
many people delay treatment for months.
They adjust. Compensate. Hide it.
Until daily life starts getting affected.
The problem is — when a nerve is compressed,
waiting without the right treatment doesn’t always solve the cause.
That’s why symptoms like numbness, tingling, weakness, or radiating pain should never be brushed aside.
Your body is trying to tell you something.
The earlier nerve compression is addressed,
the better the chances of faster recovery.
Don’t normalize numbness.
📍 Jeevisha Pain Clinic, Wakad, Pune
📞 Book Appointment: +91 91191 11837
#NeckPain #NervePain #SpineHealth #PainRelief #PuneDoctor
cervical disc bulge, finger numbness, hand tingling, cervical radiculopathy, slipped disc neck, nerve compression treatment, cervical epidural injection, neck pain treatment Pune, spine specialist Wakad, arm pain and numbness</x:v>
      </x:c>
      <x:c r="F5" s="26" t="str">
        <x:v>REFERENCE</x:v>
      </x:c>
      <x:c r="G5" s="26" t="str">
        <x:v>Client-provided format; no approval/published evidence</x:v>
      </x:c>
      <x:c r="H5" s="26" t="str">
        <x:v>Caption-Format.txt</x:v>
      </x:c>
    </x:row>
    <x:row r="6" ht="75.5999984741211" hidden="0" customHeight="1">
      <x:c r="A6" s="26" t="str">
        <x:v>GMB-POST-01</x:v>
      </x:c>
      <x:c r="B6" s="26" t="str">
        <x:v>Google Business Profile</x:v>
      </x:c>
      <x:c r="C6" s="26" t="str">
        <x:v>Post</x:v>
      </x:c>
      <x:c r="D6" s="26" t="str">
        <x:v>Most knee pain has more options than you've been told.</x:v>
      </x:c>
      <x:c r="E6" s="26" t="str">
        <x:v>Before recommending knee replacement, we ask: have all non-surgical options been explored? For many patients, the answer is no.
At Jeevisha, we evaluate before we treat. We discuss every option — including regenerative therapies, image-guided procedures, and physiotherapy — and recommend surgery only when it's truly the right call.
If you've been told you need knee surgery, consider a second opinion first.</x:v>
      </x:c>
      <x:c r="F6" s="26" t="str">
        <x:v>DRAFT</x:v>
      </x:c>
      <x:c r="G6" s="26" t="str">
        <x:v>Standard healthcare review required</x:v>
      </x:c>
      <x:c r="H6" s="26" t="str">
        <x:v>jeevisha-gmb-foundation.md §9.3</x:v>
      </x:c>
    </x:row>
    <x:row r="7" ht="75.5999984741211" hidden="0" customHeight="1">
      <x:c r="A7" s="26" t="str">
        <x:v>GMB-POST-02</x:v>
      </x:c>
      <x:c r="B7" s="26" t="str">
        <x:v>Google Business Profile</x:v>
      </x:c>
      <x:c r="C7" s="26" t="str">
        <x:v>Post</x:v>
      </x:c>
      <x:c r="D7" s="26" t="str">
        <x:v>Fellowship-trained. Patient-first. Quietly confident.</x:v>
      </x:c>
      <x:c r="E7" s="26" t="str">
        <x:v>Dr. Sanjog Mekewar leads care at Jeevisha. His training: MBBS, DA, DNB, FIPM, FIAPM — including specialist fellowships in interventional pain management and the medical board-recognized FIAPM credential.
Beyond credentials, what patients consistently mention: the time taken to listen, the clarity of explanation, and an honest discussion of every option.
Calm care, grounded in evidence.</x:v>
      </x:c>
      <x:c r="F7" s="26" t="str">
        <x:v>DRAFT</x:v>
      </x:c>
      <x:c r="G7" s="26" t="str">
        <x:v>Standard healthcare review required</x:v>
      </x:c>
      <x:c r="H7" s="26" t="str">
        <x:v>jeevisha-gmb-foundation.md §9.3</x:v>
      </x:c>
    </x:row>
    <x:row r="8" ht="75.5999984741211" hidden="0" customHeight="1">
      <x:c r="A8" s="26" t="str">
        <x:v>GMB-POST-03</x:v>
      </x:c>
      <x:c r="B8" s="26" t="str">
        <x:v>Google Business Profile</x:v>
      </x:c>
      <x:c r="C8" s="26" t="str">
        <x:v>Post</x:v>
      </x:c>
      <x:c r="D8" s="26" t="str">
        <x:v>Surgery isn't always the answer. Sometimes, your body is.</x:v>
      </x:c>
      <x:c r="E8" s="26" t="str">
        <x:v>Regenerative medicine — including PRP, biologics, and stem-cell-based therapies — works by supporting the body's natural healing mechanisms.
It's not a miracle. It's measurable, evidence-based care for carefully selected patients.
If you'd like to understand whether regenerative therapy may be appropriate for your condition, a specialist evaluation is the first step.</x:v>
      </x:c>
      <x:c r="F8" s="26" t="str">
        <x:v>DRAFT</x:v>
      </x:c>
      <x:c r="G8" s="26" t="str">
        <x:v>Standard healthcare review required</x:v>
      </x:c>
      <x:c r="H8" s="26" t="str">
        <x:v>jeevisha-gmb-foundation.md §9.3</x:v>
      </x:c>
    </x:row>
    <x:row r="9" ht="75.5999984741211" hidden="0" customHeight="1">
      <x:c r="A9" s="26" t="str">
        <x:v>GMB-POST-04</x:v>
      </x:c>
      <x:c r="B9" s="26" t="str">
        <x:v>Google Business Profile</x:v>
      </x:c>
      <x:c r="C9" s="26" t="str">
        <x:v>Post</x:v>
      </x:c>
      <x:c r="D9" s="26" t="str">
        <x:v>Returning to morning walks — Mrs. M's story.</x:v>
      </x:c>
      <x:c r="E9" s="26" t="str">
        <x:v>Six months ago, Mrs. M was told she needed knee replacement. After evaluation at Jeevisha, we discussed a non-surgical path — including regenerative options and structured physiotherapy.
Today, she walks 2 km every morning. Without surgery.
Every patient is different. Outcomes depend on individual condition, evaluation, and adherence to the plan. But the option to explore non-surgical care is real.</x:v>
      </x:c>
      <x:c r="F9" s="26" t="str">
        <x:v>NEEDS_REVIEW</x:v>
      </x:c>
      <x:c r="G9" s="26" t="str">
        <x:v>Disclaimer included, no specific outcome promised</x:v>
      </x:c>
      <x:c r="H9" s="26" t="str">
        <x:v>jeevisha-gmb-foundation.md §9.3</x:v>
      </x:c>
    </x:row>
    <x:row r="10" ht="118.80000305175781" hidden="0" customHeight="1">
      <x:c r="A10" s="26" t="str">
        <x:v>GMB-POST-05</x:v>
      </x:c>
      <x:c r="B10" s="26" t="str">
        <x:v>Google Business Profile</x:v>
      </x:c>
      <x:c r="C10" s="26" t="str">
        <x:v>Post</x:v>
      </x:c>
      <x:c r="D10" s="26" t="str">
        <x:v>5 signs your back pain needs a specialist.</x:v>
      </x:c>
      <x:c r="E10" s="26" t="str">
        <x:v>Most back pain resolves on its own. Some doesn't.
Warning signs that warrant a specialist evaluation:
1. Pain lasting more than 2 weeks
2. Tingling or numbness in legs
3. Pain that worsens at night or during sleep
4. Difficulty with daily movements
5. Pain that worsens despite rest
A specialist evaluation can identify whether your back pain is mechanical, nerve-related, or structural — and what the right approach should be.</x:v>
      </x:c>
      <x:c r="F10" s="26" t="str">
        <x:v>DRAFT</x:v>
      </x:c>
      <x:c r="G10" s="26" t="str">
        <x:v>Standard healthcare review required</x:v>
      </x:c>
      <x:c r="H10" s="26" t="str">
        <x:v>jeevisha-gmb-foundation.md §9.3</x:v>
      </x:c>
    </x:row>
    <x:row r="11" ht="75.5999984741211" hidden="0" customHeight="1">
      <x:c r="A11" s="26" t="str">
        <x:v>GMB-POST-06</x:v>
      </x:c>
      <x:c r="B11" s="26" t="str">
        <x:v>Google Business Profile</x:v>
      </x:c>
      <x:c r="C11" s="26" t="str">
        <x:v>Post</x:v>
      </x:c>
      <x:c r="D11" s="26" t="str">
        <x:v>Caring for Wakad. Caring for Hinjewadi. Caring for PCMC.</x:v>
      </x:c>
      <x:c r="E11" s="26" t="str">
        <x:v>Jeevisha serves the wider Wakad and PCMC community — from Hinjewadi's IT corridor to Pimple Saudagar, Baner, and Aundh.
Many patients we see are working professionals managing chronic back, neck, or knee pain. Some have been told they need surgery. Some have lived with pain for years.
Wherever you're starting from, we evaluate first. Then we plan.</x:v>
      </x:c>
      <x:c r="F11" s="26" t="str">
        <x:v>DRAFT</x:v>
      </x:c>
      <x:c r="G11" s="26" t="str">
        <x:v>Standard healthcare review required</x:v>
      </x:c>
      <x:c r="H11" s="26" t="str">
        <x:v>jeevisha-gmb-foundation.md §9.3</x:v>
      </x:c>
    </x:row>
    <x:row r="12" ht="118.80000305175781" hidden="0" customHeight="1">
      <x:c r="A12" s="26" t="str">
        <x:v>GMB-POST-07</x:v>
      </x:c>
      <x:c r="B12" s="26" t="str">
        <x:v>Google Business Profile</x:v>
      </x:c>
      <x:c r="C12" s="26" t="str">
        <x:v>Post</x:v>
      </x:c>
      <x:c r="D12" s="26" t="str">
        <x:v>What is PRP therapy, really?</x:v>
      </x:c>
      <x:c r="E12" s="26" t="str">
        <x:v>Platelet-Rich Plasma (PRP) therapy uses concentrated platelets from your own blood to support healing in damaged tissues — typically joints, tendons, or spinal discs.
The procedure:
1. A small blood draw (similar to a routine blood test)
2. Centrifugation to concentrate platelets
3. Image-guided injection into the target area
Same day. Usually 60-90 minutes total.
It's not appropriate for every condition or every patient. Evaluation matters.</x:v>
      </x:c>
      <x:c r="F12" s="26" t="str">
        <x:v>DRAFT</x:v>
      </x:c>
      <x:c r="G12" s="26" t="str">
        <x:v>Standard healthcare review required</x:v>
      </x:c>
      <x:c r="H12" s="26" t="str">
        <x:v>jeevisha-gmb-foundation.md §9.3</x:v>
      </x:c>
    </x:row>
    <x:row r="13" ht="97.19999694824219" hidden="0" customHeight="1">
      <x:c r="A13" s="26" t="str">
        <x:v>GMB-POST-08</x:v>
      </x:c>
      <x:c r="B13" s="26" t="str">
        <x:v>Google Business Profile</x:v>
      </x:c>
      <x:c r="C13" s="26" t="str">
        <x:v>Post</x:v>
      </x:c>
      <x:c r="D13" s="26" t="str">
        <x:v>How we work.</x:v>
      </x:c>
      <x:c r="E13" s="26" t="str">
        <x:v>At Jeevisha, every patient visit begins with three things:
1. We listen to your full story, not just symptoms.
2. We review your imaging together — explain what it shows, what it doesn't, and what it means.
3. We discuss every reasonable option, ranked by evidence — not by our preferred procedure.
Then we plan. Together.
This is what evidence-led, patient-first care actually looks like in practice.</x:v>
      </x:c>
      <x:c r="F13" s="26" t="str">
        <x:v>DRAFT</x:v>
      </x:c>
      <x:c r="G13" s="26" t="str">
        <x:v>Standard healthcare review required</x:v>
      </x:c>
      <x:c r="H13" s="26" t="str">
        <x:v>jeevisha-gmb-foundation.md §9.3</x:v>
      </x:c>
    </x:row>
    <x:row r="14" ht="140.39999389648438" hidden="0" customHeight="1">
      <x:c r="A14" s="26" t="str">
        <x:v>REV-TPL-01</x:v>
      </x:c>
      <x:c r="B14" s="26" t="str">
        <x:v>Google Reviews / WhatsApp</x:v>
      </x:c>
      <x:c r="C14" s="26" t="str">
        <x:v>Review request — English</x:v>
      </x:c>
      <x:c r="D14" s="26" t="str">
        <x:v>WhatsApp 48 hours after successful procedure/follow-up</x:v>
      </x:c>
      <x:c r="E14" s="26" t="str">
        <x:v>Hello [Patient Name],
Thank you for trusting Jeevisha with your care.
If you've been comfortable with your experience, a short Google review
would help others in Wakad find us. The link below takes you straight there.
[review link]
No pressure — only if you'd like to. Either way, we're here when you need us.
— Team Jeevisha
+91 91191 11837</x:v>
      </x:c>
      <x:c r="F14" s="26" t="str">
        <x:v>DRAFT</x:v>
      </x:c>
      <x:c r="G14" s="26" t="str">
        <x:v>Confirm canonical phone, review link and workflow owner.</x:v>
      </x:c>
      <x:c r="H14" s="26" t="str">
        <x:v>jeevisha-gmb-foundation.md §§6–7</x:v>
      </x:c>
    </x:row>
    <x:row r="15" ht="140.39999389648438" hidden="0" customHeight="1">
      <x:c r="A15" s="26" t="str">
        <x:v>REV-TPL-02</x:v>
      </x:c>
      <x:c r="B15" s="26" t="str">
        <x:v>Google Reviews / WhatsApp</x:v>
      </x:c>
      <x:c r="C15" s="26" t="str">
        <x:v>Review request — Marathi</x:v>
      </x:c>
      <x:c r="D15" s="26" t="str">
        <x:v>WhatsApp to Marathi-preference patients</x:v>
      </x:c>
      <x:c r="E15" s="26" t="str">
        <x:v>नमस्कार [Patient Name],
Jeevisha वर विश्वास ठेवल्याबद्दल धन्यवाद.
तुमचा अनुभव चांगला राहिला असेल, तर कृपया खालील link वर एक छोटा Google
review लिहा. यामुळे Wakad मधील इतर रुग्णांना मदत होईल.
[review link]
कोणताही आग्रह नाही. आम्ही नेहमी तुमच्या सेवेसाठी आहोत.
— Team Jeevisha
+91 91191 11837</x:v>
      </x:c>
      <x:c r="F15" s="26" t="str">
        <x:v>NEEDS_REVIEW</x:v>
      </x:c>
      <x:c r="G15" s="26" t="str">
        <x:v>Native-speaker and doctor review required before deployment.</x:v>
      </x:c>
      <x:c r="H15" s="26" t="str">
        <x:v>jeevisha-gmb-foundation.md §§6–7</x:v>
      </x:c>
    </x:row>
    <x:row r="16" ht="108" hidden="0" customHeight="1">
      <x:c r="A16" s="26" t="str">
        <x:v>REV-TPL-03</x:v>
      </x:c>
      <x:c r="B16" s="26" t="str">
        <x:v>Google Reviews / WhatsApp</x:v>
      </x:c>
      <x:c r="C16" s="26" t="str">
        <x:v>Detailed reviewer acknowledgement</x:v>
      </x:c>
      <x:c r="D16" s="26" t="str">
        <x:v>Personal thank-you for detailed reviews</x:v>
      </x:c>
      <x:c r="E16" s="26" t="str">
        <x:v>Dear [Name],
Thank you for taking the time to share your experience. Reviews like
yours genuinely help others who are considering non-surgical care for
similar conditions.
Wishing you continued recovery and good health.
— Dr. Sanjog Mekewar
Jeevisha Pain Clinic</x:v>
      </x:c>
      <x:c r="F16" s="26" t="str">
        <x:v>DRAFT</x:v>
      </x:c>
      <x:c r="G16" s="26" t="str">
        <x:v>Use only after confirming review and identity; no medical details.</x:v>
      </x:c>
      <x:c r="H16" s="26" t="str">
        <x:v>jeevisha-gmb-foundation.md §§6–7</x:v>
      </x:c>
    </x:row>
    <x:row r="17" ht="86.4000015258789" hidden="0" customHeight="1">
      <x:c r="A17" s="26" t="str">
        <x:v>REV-TPL-04</x:v>
      </x:c>
      <x:c r="B17" s="26" t="str">
        <x:v>Google Reviews / WhatsApp</x:v>
      </x:c>
      <x:c r="C17" s="26" t="str">
        <x:v>5-star — generic</x:v>
      </x:c>
      <x:c r="D17" s="26" t="str">
        <x:v>Public review reply</x:v>
      </x:c>
      <x:c r="E17" s="26" t="str">
        <x:v>Hello [Patient Name],
Thank you for sharing your experience with us. We're glad the [treatment / consultation / care] was right for you. Wishing you continued comfort and good health.
If anything comes up, we're here.
— Team Jeevisha</x:v>
      </x:c>
      <x:c r="F17" s="26" t="str">
        <x:v>DRAFT</x:v>
      </x:c>
      <x:c r="G17" s="26" t="str">
        <x:v>Do not validate unsupported medical claims.</x:v>
      </x:c>
      <x:c r="H17" s="26" t="str">
        <x:v>jeevisha-gmb-foundation.md §§6–7</x:v>
      </x:c>
    </x:row>
    <x:row r="18" ht="43.20000076293945" hidden="0" customHeight="1">
      <x:c r="A18" s="26" t="str">
        <x:v>REV-TPL-05</x:v>
      </x:c>
      <x:c r="B18" s="26" t="str">
        <x:v>Google Reviews / WhatsApp</x:v>
      </x:c>
      <x:c r="C18" s="26" t="str">
        <x:v>5-star — mentions Dr. Sanjog</x:v>
      </x:c>
      <x:c r="D18" s="26" t="str">
        <x:v>Public review reply</x:v>
      </x:c>
      <x:c r="E18" s="26" t="str">
        <x:v>Hello [Name], thank you for the kind words. Dr. Sanjog and the team appreciate hearing this — it's why we do what we do. Take care, and stay in touch when needed.
— Team Jeevisha</x:v>
      </x:c>
      <x:c r="F18" s="26" t="str">
        <x:v>DRAFT</x:v>
      </x:c>
      <x:c r="G18" s="26" t="str">
        <x:v>Avoid patient details.</x:v>
      </x:c>
      <x:c r="H18" s="26" t="str">
        <x:v>jeevisha-gmb-foundation.md §§6–7</x:v>
      </x:c>
    </x:row>
    <x:row r="19" ht="43.20000076293945" hidden="0" customHeight="1">
      <x:c r="A19" s="26" t="str">
        <x:v>REV-TPL-06</x:v>
      </x:c>
      <x:c r="B19" s="26" t="str">
        <x:v>Google Reviews / WhatsApp</x:v>
      </x:c>
      <x:c r="C19" s="26" t="str">
        <x:v>5-star — mentions avoiding surgery</x:v>
      </x:c>
      <x:c r="D19" s="26" t="str">
        <x:v>Public review reply</x:v>
      </x:c>
      <x:c r="E19" s="26" t="str">
        <x:v>Hello [Name], we're glad the non-surgical approach worked for you. Stories like yours are why we believe in evaluating every option before surgery. Wishing you a strong recovery.
— Team Jeevisha</x:v>
      </x:c>
      <x:c r="F19" s="26" t="str">
        <x:v>NEEDS_REVIEW</x:v>
      </x:c>
      <x:c r="G19" s="26" t="str">
        <x:v>May be read as validating outcome; doctor/compliance review advised.</x:v>
      </x:c>
      <x:c r="H19" s="26" t="str">
        <x:v>jeevisha-gmb-foundation.md §§6–7</x:v>
      </x:c>
    </x:row>
    <x:row r="20" ht="43.20000076293945" hidden="0" customHeight="1">
      <x:c r="A20" s="26" t="str">
        <x:v>REV-TPL-07</x:v>
      </x:c>
      <x:c r="B20" s="26" t="str">
        <x:v>Google Reviews / WhatsApp</x:v>
      </x:c>
      <x:c r="C20" s="26" t="str">
        <x:v>5-star — mentions listening/explanation</x:v>
      </x:c>
      <x:c r="D20" s="26" t="str">
        <x:v>Public review reply</x:v>
      </x:c>
      <x:c r="E20" s="26" t="str">
        <x:v>Hello [Name], thank you for noticing — taking time to listen and explain is core to how we work. We appreciate you saying so.
— Team Jeevisha</x:v>
      </x:c>
      <x:c r="F20" s="26" t="str">
        <x:v>DRAFT</x:v>
      </x:c>
      <x:c r="G20" s="26" t="str">
        <x:v>Avoid medical details.</x:v>
      </x:c>
      <x:c r="H20" s="26" t="str">
        <x:v>jeevisha-gmb-foundation.md §§6–7</x:v>
      </x:c>
    </x:row>
    <x:row r="21" ht="86.4000015258789" hidden="0" customHeight="1">
      <x:c r="A21" s="26" t="str">
        <x:v>REV-TPL-08</x:v>
      </x:c>
      <x:c r="B21" s="26" t="str">
        <x:v>Google Reviews / WhatsApp</x:v>
      </x:c>
      <x:c r="C21" s="26" t="str">
        <x:v>4-star</x:v>
      </x:c>
      <x:c r="D21" s="26" t="str">
        <x:v>Public review reply</x:v>
      </x:c>
      <x:c r="E21" s="26" t="str">
        <x:v>Hello [Name],
Thank you for the honest feedback. We always aim to do better, and any specifics you can share — directly or via WhatsApp at +91 91191 11837 — would genuinely help us improve.
Wishing you well.
— Team Jeevisha</x:v>
      </x:c>
      <x:c r="F21" s="26" t="str">
        <x:v>DRAFT</x:v>
      </x:c>
      <x:c r="G21" s="26" t="str">
        <x:v>Confirm phone.</x:v>
      </x:c>
      <x:c r="H21" s="26" t="str">
        <x:v>jeevisha-gmb-foundation.md §§6–7</x:v>
      </x:c>
    </x:row>
    <x:row r="22" ht="97.19999694824219" hidden="0" customHeight="1">
      <x:c r="A22" s="26" t="str">
        <x:v>REV-TPL-09</x:v>
      </x:c>
      <x:c r="B22" s="26" t="str">
        <x:v>Google Reviews / WhatsApp</x:v>
      </x:c>
      <x:c r="C22" s="26" t="str">
        <x:v>3-star</x:v>
      </x:c>
      <x:c r="D22" s="26" t="str">
        <x:v>Public review reply</x:v>
      </x:c>
      <x:c r="E22" s="26" t="str">
        <x:v>Hello [Name],
Thank you for taking the time to share your feedback. A 3-star experience usually means something specific could have gone better. We'd value the chance to understand and address it.
Please reach us directly at +91 91191 11837 or visit when convenient — Dr. Sanjog would like to speak with you personally.
— Team Jeevisha</x:v>
      </x:c>
      <x:c r="F22" s="26" t="str">
        <x:v>DRAFT</x:v>
      </x:c>
      <x:c r="G22" s="26" t="str">
        <x:v>Confirm phone and founder availability.</x:v>
      </x:c>
      <x:c r="H22" s="26" t="str">
        <x:v>jeevisha-gmb-foundation.md §§6–7</x:v>
      </x:c>
    </x:row>
    <x:row r="23" ht="43.20000076293945" hidden="0" customHeight="1">
      <x:c r="A23" s="26" t="str">
        <x:v>REV-TPL-10</x:v>
      </x:c>
      <x:c r="B23" s="26" t="str">
        <x:v>Google Reviews / WhatsApp</x:v>
      </x:c>
      <x:c r="C23" s="26" t="str">
        <x:v>1–2 star</x:v>
      </x:c>
      <x:c r="D23" s="26" t="str">
        <x:v>Public review reply after private escalation</x:v>
      </x:c>
      <x:c r="E23" s="26" t="str">
        <x:v>[Name], thank you for sharing this. We take every concern seriously and would like to understand what happened. Please reach Dr. Sanjog directly at +91 91191 11837 — we want to address this properly and personally.
— Team Jeevisha</x:v>
      </x:c>
      <x:c r="F23" s="26" t="str">
        <x:v>DRAFT</x:v>
      </x:c>
      <x:c r="G23" s="26" t="str">
        <x:v>Escalate to founder before posting; do not disclose patient details.</x:v>
      </x:c>
      <x:c r="H23" s="26" t="str">
        <x:v>jeevisha-gmb-foundation.md §§6–7</x:v>
      </x:c>
    </x:row>
    <x:row r="24" ht="43.20000076293945" hidden="0" customHeight="1">
      <x:c r="A24" s="26" t="str">
        <x:v>REV-TPL-11</x:v>
      </x:c>
      <x:c r="B24" s="26" t="str">
        <x:v>Google Reviews / WhatsApp</x:v>
      </x:c>
      <x:c r="C24" s="26" t="str">
        <x:v>Compliance-sensitive positive review</x:v>
      </x:c>
      <x:c r="D24" s="26" t="str">
        <x:v>Reply where patient states medical outcome</x:v>
      </x:c>
      <x:c r="E24" s="26" t="str">
        <x:v>Hello [Name], thank you for sharing your experience. We're glad you're back to running. Wishing you continued strength and recovery.
— Team Jeevisha</x:v>
      </x:c>
      <x:c r="F24" s="26" t="str">
        <x:v>DRAFT</x:v>
      </x:c>
      <x:c r="G24" s="26" t="str">
        <x:v>Do not confirm diagnosis, procedure efficacy, cure or causal outcome.</x:v>
      </x:c>
      <x:c r="H24" s="26" t="str">
        <x:v>jeevisha-gmb-foundation.md §§6–7</x:v>
      </x:c>
    </x:row>
    <x:row r="25" ht="21.600000381469727" hidden="0" customHeight="1">
      <x:c r="A25" s="26" t="str">
        <x:v>AD-COPY-01</x:v>
      </x:c>
      <x:c r="B25" s="26" t="str">
        <x:v>Meta — Knee pain problem-aware</x:v>
      </x:c>
      <x:c r="C25" s="26" t="str">
        <x:v>Ad hook/copy</x:v>
      </x:c>
      <x:c r="D25" s="26" t="str">
        <x:v>If climbing stairs feels like climbing a mountain...</x:v>
      </x:c>
      <x:c r="E25" s="26" t="str">
        <x:v>CTA: Book free knee assessment
Claim/proof: Avoid knee replacement with PRP</x:v>
      </x:c>
      <x:c r="F25" s="26" t="str">
        <x:v>NEEDS_REVIEW</x:v>
      </x:c>
      <x:c r="G25" s="26" t="str">
        <x:v>Unsupported offer/outcome/superlative/urgency</x:v>
      </x:c>
      <x:c r="H25" s="26" t="str">
        <x:v>Jeevisha Research.md §12</x:v>
      </x:c>
    </x:row>
    <x:row r="26" ht="21.600000381469727" hidden="0" customHeight="1">
      <x:c r="A26" s="26" t="str">
        <x:v>AD-COPY-02</x:v>
      </x:c>
      <x:c r="B26" s="26" t="str">
        <x:v>Meta — Surgery second opinion</x:v>
      </x:c>
      <x:c r="C26" s="26" t="str">
        <x:v>Ad hook/copy</x:v>
      </x:c>
      <x:c r="D26" s="26" t="str">
        <x:v>Your doctor said you need surgery. Get a second opinion first.</x:v>
      </x:c>
      <x:c r="E26" s="26" t="str">
        <x:v>CTA: Book free second opinion
Claim/proof: 80% of patients avoid surgery</x:v>
      </x:c>
      <x:c r="F26" s="26" t="str">
        <x:v>NEEDS_REVIEW</x:v>
      </x:c>
      <x:c r="G26" s="26" t="str">
        <x:v>Unsupported offer/outcome/superlative/urgency</x:v>
      </x:c>
      <x:c r="H26" s="26" t="str">
        <x:v>Jeevisha Research.md §12</x:v>
      </x:c>
    </x:row>
    <x:row r="27" ht="21.600000381469727" hidden="0" customHeight="1">
      <x:c r="A27" s="26" t="str">
        <x:v>AD-COPY-03</x:v>
      </x:c>
      <x:c r="B27" s="26" t="str">
        <x:v>Meta — Monsoon joint pain</x:v>
      </x:c>
      <x:c r="C27" s="26" t="str">
        <x:v>Ad hook/copy</x:v>
      </x:c>
      <x:c r="D27" s="26" t="str">
        <x:v>Monsoon joint pain is real. And treatable.</x:v>
      </x:c>
      <x:c r="E27" s="26" t="str">
        <x:v>CTA: Book before the rains get worse
Claim/proof: 500+ patients treated this monsoon; same-week appointment</x:v>
      </x:c>
      <x:c r="F27" s="26" t="str">
        <x:v>NEEDS_REVIEW</x:v>
      </x:c>
      <x:c r="G27" s="26" t="str">
        <x:v>Unsupported offer/outcome/superlative/urgency</x:v>
      </x:c>
      <x:c r="H27" s="26" t="str">
        <x:v>Jeevisha Research.md §12</x:v>
      </x:c>
    </x:row>
    <x:row r="28" ht="21.600000381469727" hidden="0" customHeight="1">
      <x:c r="A28" s="26" t="str">
        <x:v>AD-COPY-04</x:v>
      </x:c>
      <x:c r="B28" s="26" t="str">
        <x:v>Meta — Founder-led</x:v>
      </x:c>
      <x:c r="C28" s="26" t="str">
        <x:v>Ad hook/copy</x:v>
      </x:c>
      <x:c r="D28" s="26" t="str">
        <x:v>Meet Dr. Sanjog — the doctor who believes surgery should be the last option.</x:v>
      </x:c>
      <x:c r="E28" s="26" t="str">
        <x:v>CTA: Meet Dr. Sanjog
Claim/proof: Credentials and patient reviews</x:v>
      </x:c>
      <x:c r="F28" s="26" t="str">
        <x:v>DRAFT</x:v>
      </x:c>
      <x:c r="G28" s="26" t="str">
        <x:v>Doctor and client approval required</x:v>
      </x:c>
      <x:c r="H28" s="26" t="str">
        <x:v>Jeevisha Research.md §12</x:v>
      </x:c>
    </x:row>
    <x:row r="29" ht="21.600000381469727" hidden="0" customHeight="1">
      <x:c r="A29" s="26" t="str">
        <x:v>AD-COPY-05</x:v>
      </x:c>
      <x:c r="B29" s="26" t="str">
        <x:v>Google Search — Knee pain</x:v>
      </x:c>
      <x:c r="C29" s="26" t="str">
        <x:v>Ad hook/copy</x:v>
      </x:c>
      <x:c r="D29" s="26" t="str">
        <x:v>Knee Pain Treatment Wakad / Non-Surgical PRP Therapy / Book Same-Week Appointment</x:v>
      </x:c>
      <x:c r="E29" s="26" t="str">
        <x:v>CTA: Call/WhatsApp
Claim/proof: Avoid knee replacement</x:v>
      </x:c>
      <x:c r="F29" s="26" t="str">
        <x:v>DRAFT</x:v>
      </x:c>
      <x:c r="G29" s="26" t="str">
        <x:v>Doctor and client approval required</x:v>
      </x:c>
      <x:c r="H29" s="26" t="str">
        <x:v>Jeevisha Research.md §12</x:v>
      </x:c>
    </x:row>
    <x:row r="30" ht="21.600000381469727" hidden="0" customHeight="1">
      <x:c r="A30" s="26" t="str">
        <x:v>AD-COPY-06</x:v>
      </x:c>
      <x:c r="B30" s="26" t="str">
        <x:v>Google Search — Second opinion</x:v>
      </x:c>
      <x:c r="C30" s="26" t="str">
        <x:v>Ad hook/copy</x:v>
      </x:c>
      <x:c r="D30" s="26" t="str">
        <x:v>Told You Need Surgery? / Get a Free Second Opinion / Non-Surgical Options Available</x:v>
      </x:c>
      <x:c r="E30" s="26" t="str">
        <x:v>CTA: Get a free second opinion
Claim/proof: 80% of patients find non-surgical relief</x:v>
      </x:c>
      <x:c r="F30" s="26" t="str">
        <x:v>NEEDS_REVIEW</x:v>
      </x:c>
      <x:c r="G30" s="26" t="str">
        <x:v>Unsupported offer/outcome/superlative/urgency</x:v>
      </x:c>
      <x:c r="H30" s="26" t="str">
        <x:v>Jeevisha Research.md §12</x:v>
      </x:c>
    </x:row>
    <x:row r="31" ht="21.600000381469727" hidden="0" customHeight="1">
      <x:c r="A31" s="26" t="str">
        <x:v>AD-COPY-07</x:v>
      </x:c>
      <x:c r="B31" s="26" t="str">
        <x:v>Google Search — Near me</x:v>
      </x:c>
      <x:c r="C31" s="26" t="str">
        <x:v>Ad hook/copy</x:v>
      </x:c>
      <x:c r="D31" s="26" t="str">
        <x:v>Pain Clinic Near Me Wakad / Same-Day Appointments / Call/WhatsApp Now</x:v>
      </x:c>
      <x:c r="E31" s="26" t="str">
        <x:v>CTA: Call/WhatsApp
Claim/proof: Best pain management clinic; no surgery needed</x:v>
      </x:c>
      <x:c r="F31" s="26" t="str">
        <x:v>NEEDS_REVIEW</x:v>
      </x:c>
      <x:c r="G31" s="26" t="str">
        <x:v>Unsupported offer/outcome/superlative/urgency</x:v>
      </x:c>
      <x:c r="H31" s="26" t="str">
        <x:v>Jeevisha Research.md §12</x:v>
      </x:c>
    </x:row>
    <x:row r="32" ht="21.600000381469727" hidden="0" customHeight="1">
      <x:c r="A32" s="26" t="str">
        <x:v>AD-COPY-08</x:v>
      </x:c>
      <x:c r="B32" s="26" t="str">
        <x:v>YouTube — PRP explainer</x:v>
      </x:c>
      <x:c r="C32" s="26" t="str">
        <x:v>Ad hook/copy</x:v>
      </x:c>
      <x:c r="D32" s="26" t="str">
        <x:v>What if you could avoid knee surgery with a simple injection?</x:v>
      </x:c>
      <x:c r="E32" s="26" t="str">
        <x:v>CTA: Learn more
Claim/proof: Simple injection</x:v>
      </x:c>
      <x:c r="F32" s="26" t="str">
        <x:v>NEEDS_REVIEW</x:v>
      </x:c>
      <x:c r="G32" s="26" t="str">
        <x:v>Unsupported offer/outcome/superlative/urgency</x:v>
      </x:c>
      <x:c r="H32" s="26" t="str">
        <x:v>Jeevisha Research.md §12</x:v>
      </x:c>
    </x:row>
    <x:row r="33" ht="21.600000381469727" hidden="0" customHeight="1">
      <x:c r="A33" s="26" t="str">
        <x:v>AD-COPY-09</x:v>
      </x:c>
      <x:c r="B33" s="26" t="str">
        <x:v>YouTube — Patient story</x:v>
      </x:c>
      <x:c r="C33" s="26" t="str">
        <x:v>Ad hook/copy</x:v>
      </x:c>
      <x:c r="D33" s="26" t="str">
        <x:v>I was told I needed knee replacement at 58. Then I found Dr. Sanjog.</x:v>
      </x:c>
      <x:c r="E33" s="26" t="str">
        <x:v>CTA: Book consultation
Claim/proof: Patient outcome</x:v>
      </x:c>
      <x:c r="F33" s="26" t="str">
        <x:v>NEEDS_REVIEW</x:v>
      </x:c>
      <x:c r="G33" s="26" t="str">
        <x:v>Unsupported offer/outcome/superlative/urgency</x:v>
      </x:c>
      <x:c r="H33" s="26" t="str">
        <x:v>Jeevisha Research.md §12</x:v>
      </x:c>
    </x:row>
    <x:row r="34" ht="21.600000381469727" hidden="0" customHeight="1">
      <x:c r="A34" s="26" t="str">
        <x:v>AD-COPY-10</x:v>
      </x:c>
      <x:c r="B34" s="26" t="str">
        <x:v>WhatsApp — Direct outreach</x:v>
      </x:c>
      <x:c r="C34" s="26" t="str">
        <x:v>Ad hook/copy</x:v>
      </x:c>
      <x:c r="D34" s="26" t="str">
        <x:v>Free MRI review for patients considering knee surgery</x:v>
      </x:c>
      <x:c r="E34" s="26" t="str">
        <x:v>CTA: Reply YES
Claim/proof: Free MRI review</x:v>
      </x:c>
      <x:c r="F34" s="26" t="str">
        <x:v>NEEDS_REVIEW</x:v>
      </x:c>
      <x:c r="G34" s="26" t="str">
        <x:v>Unsupported offer/outcome/superlative/urgency</x:v>
      </x:c>
      <x:c r="H34" s="26" t="str">
        <x:v>Jeevisha Research.md §12</x:v>
      </x:c>
    </x:row>
    <x:row r="35" ht="21.600000381469727" hidden="0" customHeight="1">
      <x:c r="A35" s="26" t="str">
        <x:v>AD-COPY-11</x:v>
      </x:c>
      <x:c r="B35" s="26" t="str">
        <x:v>WhatsApp — Nurture sequence</x:v>
      </x:c>
      <x:c r="C35" s="26" t="str">
        <x:v>Ad hook/copy</x:v>
      </x:c>
      <x:c r="D35" s="26" t="str">
        <x:v>Welcome → education → testimonial → booking reminder</x:v>
      </x:c>
      <x:c r="E35" s="26" t="str">
        <x:v>CTA: Book consultation
Claim/proof: Special offer</x:v>
      </x:c>
      <x:c r="F35" s="26" t="str">
        <x:v>NEEDS_REVIEW</x:v>
      </x:c>
      <x:c r="G35" s="26" t="str">
        <x:v>Unsupported offer/outcome/superlative/urgency</x:v>
      </x:c>
      <x:c r="H35" s="26" t="str">
        <x:v>Jeevisha Research.md §12</x:v>
      </x:c>
    </x:row>
  </x:sheetData>
  <x:mergeCells>
    <x:mergeCell ref="A1:H1"/>
    <x:mergeCell ref="A2:H2"/>
  </x:mergeCells>
  <x:conditionalFormatting sqref="A5:H35">
    <x:cfRule type="expression" dxfId="6" priority="1">
      <x:formula>MOD(ROW(),2)=0</x:formula>
    </x:cfRule>
  </x:conditionalFormatting>
  <x:pageMargins left="0.7" right="0.7" top="0.75" bottom="0.75" header="0.3" footer="0.3"/>
  <x:tableParts count="1">
    <x:tablePart xmlns:r="http://schemas.openxmlformats.org/officeDocument/2006/relationships" r:id="Re4d9cc80c72847b6"/>
  </x:tableParts>
</x:worksheet>
</file>

<file path=xl/worksheets/sheet7.xml><?xml version="1.0" encoding="utf-8"?>
<x:worksheet xmlns:x="http://schemas.openxmlformats.org/spreadsheetml/2006/main">
  <x:sheetFormatPr defaultRowHeight="15"/>
  <x:cols>
    <x:col min="1" max="1" width="10" hidden="0" customWidth="1"/>
    <x:col min="2" max="2" width="25" hidden="0" customWidth="1"/>
    <x:col min="3" max="3" width="18" hidden="0" customWidth="1"/>
    <x:col min="4" max="4" width="38" hidden="0" customWidth="1"/>
    <x:col min="5" max="5" width="70" hidden="0" customWidth="1"/>
    <x:col min="6" max="6" width="22" hidden="0" customWidth="1"/>
    <x:col min="7" max="7" width="42" hidden="0" customWidth="1"/>
    <x:col min="8" max="8" width="35" hidden="0" customWidth="1"/>
    <x:col min="9" max="9" width="16" hidden="0" customWidth="1"/>
    <x:col min="10" max="10" width="20" hidden="0" customWidth="1"/>
    <x:col min="11" max="11" width="18" hidden="0" customWidth="1"/>
    <x:col min="12" max="12" width="30" hidden="0" customWidth="1"/>
  </x:cols>
  <x:sheetData>
    <x:row r="1" ht="19.200000762939453" hidden="0" customHeight="1">
      <x:c r="A1" s="5" t="str">
        <x:v>GMB Post Register</x:v>
      </x:c>
      <x:c r="B1" s="5"/>
      <x:c r="C1" s="5"/>
      <x:c r="D1" s="5"/>
      <x:c r="E1" s="5"/>
      <x:c r="F1" s="5"/>
      <x:c r="G1" s="5"/>
      <x:c r="H1" s="5"/>
      <x:c r="I1" s="5"/>
      <x:c r="J1" s="5"/>
      <x:c r="K1" s="5"/>
      <x:c r="L1" s="5"/>
    </x:row>
    <x:row r="2" ht="15" hidden="0" customHeight="1">
      <x:c r="A2" s="11" t="str">
        <x:v>Jeevisha Client Handover · Updated 2026-07-16 · statuses are evidence-based</x:v>
      </x:c>
      <x:c r="B2" s="11"/>
      <x:c r="C2" s="11"/>
      <x:c r="D2" s="11"/>
      <x:c r="E2" s="11"/>
      <x:c r="F2" s="11"/>
      <x:c r="G2" s="11"/>
      <x:c r="H2" s="11"/>
      <x:c r="I2" s="11"/>
      <x:c r="J2" s="11"/>
      <x:c r="K2" s="11"/>
      <x:c r="L2" s="11"/>
    </x:row>
    <x:row r="3"/>
    <x:row r="4" ht="15" hidden="0" customHeight="1">
      <x:c r="A4" s="18" t="str">
        <x:v>ID</x:v>
      </x:c>
      <x:c r="B4" s="18" t="str">
        <x:v>Schedule</x:v>
      </x:c>
      <x:c r="C4" s="18" t="str">
        <x:v>Type</x:v>
      </x:c>
      <x:c r="D4" s="18" t="str">
        <x:v>Hook</x:v>
      </x:c>
      <x:c r="E4" s="18" t="str">
        <x:v>Body</x:v>
      </x:c>
      <x:c r="F4" s="18" t="str">
        <x:v>CTA</x:v>
      </x:c>
      <x:c r="G4" s="18" t="str">
        <x:v>Image_Direction</x:v>
      </x:c>
      <x:c r="H4" s="18" t="str">
        <x:v>Compliance</x:v>
      </x:c>
      <x:c r="I4" s="18" t="str">
        <x:v>Status</x:v>
      </x:c>
      <x:c r="J4" s="18" t="str">
        <x:v>Approval_Evidence</x:v>
      </x:c>
      <x:c r="K4" s="18" t="str">
        <x:v>Published_Status</x:v>
      </x:c>
      <x:c r="L4" s="18" t="str">
        <x:v>Source</x:v>
      </x:c>
    </x:row>
    <x:row r="5" ht="75.5999984741211" hidden="0" customHeight="1">
      <x:c r="A5" s="26" t="str">
        <x:v>GMB-POST-01</x:v>
      </x:c>
      <x:c r="B5" s="26" t="str">
        <x:v>Week 1 — Tuesday: Educational</x:v>
      </x:c>
      <x:c r="C5" s="26" t="str">
        <x:v>Update</x:v>
      </x:c>
      <x:c r="D5" s="26" t="str">
        <x:v>Most knee pain has more options than you've been told.</x:v>
      </x:c>
      <x:c r="E5" s="26" t="str">
        <x:v>Before recommending knee replacement, we ask: have all non-surgical options been explored? For many patients, the answer is no.
At Jeevisha, we evaluate before we treat. We discuss every option — including regenerative therapies, image-guided procedures, and physiotherapy — and recommend surgery only when it's truly the right call.
If you've been told you need knee surgery, consider a second opinion first.</x:v>
      </x:c>
      <x:c r="F5" s="26" t="str">
        <x:v>Book a Consultation</x:v>
      </x:c>
      <x:c r="G5" s="26" t="str">
        <x:v>Clinic consultation room or anatomical knee illustration in brand style</x:v>
      </x:c>
      <x:c r="H5" s="26" t="str">
        <x:v>Standard healthcare review required</x:v>
      </x:c>
      <x:c r="I5" s="26" t="str">
        <x:v>DRAFT</x:v>
      </x:c>
      <x:c r="J5" s="26" t="str">
        <x:v>None</x:v>
      </x:c>
      <x:c r="K5" s="26" t="str">
        <x:v>UNKNOWN</x:v>
      </x:c>
      <x:c r="L5" s="26" t="str">
        <x:v>jeevisha-gmb-foundation.md §9.3</x:v>
      </x:c>
    </x:row>
    <x:row r="6" ht="75.5999984741211" hidden="0" customHeight="1">
      <x:c r="A6" s="26" t="str">
        <x:v>GMB-POST-02</x:v>
      </x:c>
      <x:c r="B6" s="26" t="str">
        <x:v>Week 1 — Friday: Trust-building</x:v>
      </x:c>
      <x:c r="C6" s="26" t="str">
        <x:v>Update</x:v>
      </x:c>
      <x:c r="D6" s="26" t="str">
        <x:v>Fellowship-trained. Patient-first. Quietly confident.</x:v>
      </x:c>
      <x:c r="E6" s="26" t="str">
        <x:v>Dr. Sanjog Mekewar leads care at Jeevisha. His training: MBBS, DA, DNB, FIPM, FIAPM — including specialist fellowships in interventional pain management and the medical board-recognized FIAPM credential.
Beyond credentials, what patients consistently mention: the time taken to listen, the clarity of explanation, and an honest discussion of every option.
Calm care, grounded in evidence.</x:v>
      </x:c>
      <x:c r="F6" s="26" t="str">
        <x:v>Learn More (links to website doctor profile)</x:v>
      </x:c>
      <x:c r="G6" s="26" t="str">
        <x:v>Professional Dr. Sanjog portrait</x:v>
      </x:c>
      <x:c r="H6" s="26" t="str">
        <x:v>Standard healthcare review required</x:v>
      </x:c>
      <x:c r="I6" s="26" t="str">
        <x:v>DRAFT</x:v>
      </x:c>
      <x:c r="J6" s="26" t="str">
        <x:v>None</x:v>
      </x:c>
      <x:c r="K6" s="26" t="str">
        <x:v>UNKNOWN</x:v>
      </x:c>
      <x:c r="L6" s="26" t="str">
        <x:v>jeevisha-gmb-foundation.md §9.3</x:v>
      </x:c>
    </x:row>
    <x:row r="7" ht="75.5999984741211" hidden="0" customHeight="1">
      <x:c r="A7" s="26" t="str">
        <x:v>GMB-POST-03</x:v>
      </x:c>
      <x:c r="B7" s="26" t="str">
        <x:v>Week 2 — Tuesday: Surgery avoidance</x:v>
      </x:c>
      <x:c r="C7" s="26" t="str">
        <x:v>Update</x:v>
      </x:c>
      <x:c r="D7" s="26" t="str">
        <x:v>Surgery isn't always the answer. Sometimes, your body is.</x:v>
      </x:c>
      <x:c r="E7" s="26" t="str">
        <x:v>Regenerative medicine — including PRP, biologics, and stem-cell-based therapies — works by supporting the body's natural healing mechanisms.
It's not a miracle. It's measurable, evidence-based care for carefully selected patients.
If you'd like to understand whether regenerative therapy may be appropriate for your condition, a specialist evaluation is the first step.</x:v>
      </x:c>
      <x:c r="F7" s="26" t="str">
        <x:v>Book a Consultation</x:v>
      </x:c>
      <x:c r="G7" s="26" t="str">
        <x:v>PRP procedure equipment (clean, brand-aligned shot)</x:v>
      </x:c>
      <x:c r="H7" s="26" t="str">
        <x:v>Standard healthcare review required</x:v>
      </x:c>
      <x:c r="I7" s="26" t="str">
        <x:v>DRAFT</x:v>
      </x:c>
      <x:c r="J7" s="26" t="str">
        <x:v>None</x:v>
      </x:c>
      <x:c r="K7" s="26" t="str">
        <x:v>UNKNOWN</x:v>
      </x:c>
      <x:c r="L7" s="26" t="str">
        <x:v>jeevisha-gmb-foundation.md §9.3</x:v>
      </x:c>
    </x:row>
    <x:row r="8" ht="75.5999984741211" hidden="0" customHeight="1">
      <x:c r="A8" s="26" t="str">
        <x:v>GMB-POST-04</x:v>
      </x:c>
      <x:c r="B8" s="26" t="str">
        <x:v>Week 2 — Friday: Patient outcome (compliance-aware)</x:v>
      </x:c>
      <x:c r="C8" s="26" t="str">
        <x:v>Update</x:v>
      </x:c>
      <x:c r="D8" s="26" t="str">
        <x:v>Returning to morning walks — Mrs. M's story.</x:v>
      </x:c>
      <x:c r="E8" s="26" t="str">
        <x:v>Six months ago, Mrs. M was told she needed knee replacement. After evaluation at Jeevisha, we discussed a non-surgical path — including regenerative options and structured physiotherapy.
Today, she walks 2 km every morning. Without surgery.
Every patient is different. Outcomes depend on individual condition, evaluation, and adherence to the plan. But the option to explore non-surgical care is real.</x:v>
      </x:c>
      <x:c r="F8" s="26" t="str">
        <x:v>Book a Consultation</x:v>
      </x:c>
      <x:c r="G8" s="26" t="str">
        <x:v>Anonymized "walking" image (no face) OR equipment shot</x:v>
      </x:c>
      <x:c r="H8" s="26" t="str">
        <x:v>Disclaimer included, no specific outcome promised</x:v>
      </x:c>
      <x:c r="I8" s="26" t="str">
        <x:v>NEEDS_REVIEW</x:v>
      </x:c>
      <x:c r="J8" s="26" t="str">
        <x:v>None</x:v>
      </x:c>
      <x:c r="K8" s="26" t="str">
        <x:v>UNKNOWN</x:v>
      </x:c>
      <x:c r="L8" s="26" t="str">
        <x:v>jeevisha-gmb-foundation.md §9.3</x:v>
      </x:c>
    </x:row>
    <x:row r="9" ht="118.80000305175781" hidden="0" customHeight="1">
      <x:c r="A9" s="26" t="str">
        <x:v>GMB-POST-05</x:v>
      </x:c>
      <x:c r="B9" s="26" t="str">
        <x:v>Week 3 — Tuesday: Educational</x:v>
      </x:c>
      <x:c r="C9" s="26" t="str">
        <x:v>Update</x:v>
      </x:c>
      <x:c r="D9" s="26" t="str">
        <x:v>5 signs your back pain needs a specialist.</x:v>
      </x:c>
      <x:c r="E9" s="26" t="str">
        <x:v>Most back pain resolves on its own. Some doesn't.
Warning signs that warrant a specialist evaluation:
1. Pain lasting more than 2 weeks
2. Tingling or numbness in legs
3. Pain that worsens at night or during sleep
4. Difficulty with daily movements
5. Pain that worsens despite rest
A specialist evaluation can identify whether your back pain is mechanical, nerve-related, or structural — and what the right approach should be.</x:v>
      </x:c>
      <x:c r="F9" s="26" t="str">
        <x:v>Book a Consultation</x:v>
      </x:c>
      <x:c r="G9" s="26" t="str">
        <x:v>Educational text-heavy slide adapted from social calendar</x:v>
      </x:c>
      <x:c r="H9" s="26" t="str">
        <x:v>Standard healthcare review required</x:v>
      </x:c>
      <x:c r="I9" s="26" t="str">
        <x:v>DRAFT</x:v>
      </x:c>
      <x:c r="J9" s="26" t="str">
        <x:v>None</x:v>
      </x:c>
      <x:c r="K9" s="26" t="str">
        <x:v>UNKNOWN</x:v>
      </x:c>
      <x:c r="L9" s="26" t="str">
        <x:v>jeevisha-gmb-foundation.md §9.3</x:v>
      </x:c>
    </x:row>
    <x:row r="10" ht="75.5999984741211" hidden="0" customHeight="1">
      <x:c r="A10" s="26" t="str">
        <x:v>GMB-POST-06</x:v>
      </x:c>
      <x:c r="B10" s="26" t="str">
        <x:v>Week 3 — Friday: Local/Community</x:v>
      </x:c>
      <x:c r="C10" s="26" t="str">
        <x:v>Update</x:v>
      </x:c>
      <x:c r="D10" s="26" t="str">
        <x:v>Caring for Wakad. Caring for Hinjewadi. Caring for PCMC.</x:v>
      </x:c>
      <x:c r="E10" s="26" t="str">
        <x:v>Jeevisha serves the wider Wakad and PCMC community — from Hinjewadi's IT corridor to Pimple Saudagar, Baner, and Aundh.
Many patients we see are working professionals managing chronic back, neck, or knee pain. Some have been told they need surgery. Some have lived with pain for years.
Wherever you're starting from, we evaluate first. Then we plan.</x:v>
      </x:c>
      <x:c r="F10" s="26" t="str">
        <x:v>Call Now (+91 91191 11837)</x:v>
      </x:c>
      <x:c r="G10" s="26" t="str">
        <x:v>Clinic exterior or interior welcome shot</x:v>
      </x:c>
      <x:c r="H10" s="26" t="str">
        <x:v>Standard healthcare review required</x:v>
      </x:c>
      <x:c r="I10" s="26" t="str">
        <x:v>DRAFT</x:v>
      </x:c>
      <x:c r="J10" s="26" t="str">
        <x:v>None</x:v>
      </x:c>
      <x:c r="K10" s="26" t="str">
        <x:v>UNKNOWN</x:v>
      </x:c>
      <x:c r="L10" s="26" t="str">
        <x:v>jeevisha-gmb-foundation.md §9.3</x:v>
      </x:c>
    </x:row>
    <x:row r="11" ht="118.80000305175781" hidden="0" customHeight="1">
      <x:c r="A11" s="26" t="str">
        <x:v>GMB-POST-07</x:v>
      </x:c>
      <x:c r="B11" s="26" t="str">
        <x:v>Week 4 — Tuesday: Regenerative medicine education</x:v>
      </x:c>
      <x:c r="C11" s="26" t="str">
        <x:v>Product (use Product type for service deep-dives)</x:v>
      </x:c>
      <x:c r="D11" s="26" t="str">
        <x:v>What is PRP therapy, really?</x:v>
      </x:c>
      <x:c r="E11" s="26" t="str">
        <x:v>Platelet-Rich Plasma (PRP) therapy uses concentrated platelets from your own blood to support healing in damaged tissues — typically joints, tendons, or spinal discs.
The procedure:
1. A small blood draw (similar to a routine blood test)
2. Centrifugation to concentrate platelets
3. Image-guided injection into the target area
Same day. Usually 60-90 minutes total.
It's not appropriate for every condition or every patient. Evaluation matters.</x:v>
      </x:c>
      <x:c r="F11" s="26" t="str">
        <x:v>Learn More</x:v>
      </x:c>
      <x:c r="G11" s="26" t="str">
        <x:v>PRP equipment or procedure setup</x:v>
      </x:c>
      <x:c r="H11" s="26" t="str">
        <x:v>Standard healthcare review required</x:v>
      </x:c>
      <x:c r="I11" s="26" t="str">
        <x:v>DRAFT</x:v>
      </x:c>
      <x:c r="J11" s="26" t="str">
        <x:v>None</x:v>
      </x:c>
      <x:c r="K11" s="26" t="str">
        <x:v>UNKNOWN</x:v>
      </x:c>
      <x:c r="L11" s="26" t="str">
        <x:v>jeevisha-gmb-foundation.md §9.3</x:v>
      </x:c>
    </x:row>
    <x:row r="12" ht="97.19999694824219" hidden="0" customHeight="1">
      <x:c r="A12" s="26" t="str">
        <x:v>GMB-POST-08</x:v>
      </x:c>
      <x:c r="B12" s="26" t="str">
        <x:v>Week 4 — Friday: Trust-building</x:v>
      </x:c>
      <x:c r="C12" s="26" t="str">
        <x:v>Update</x:v>
      </x:c>
      <x:c r="D12" s="26" t="str">
        <x:v>How we work.</x:v>
      </x:c>
      <x:c r="E12" s="26" t="str">
        <x:v>At Jeevisha, every patient visit begins with three things:
1. We listen to your full story, not just symptoms.
2. We review your imaging together — explain what it shows, what it doesn't, and what it means.
3. We discuss every reasonable option, ranked by evidence — not by our preferred procedure.
Then we plan. Together.
This is what evidence-led, patient-first care actually looks like in practice.</x:v>
      </x:c>
      <x:c r="F12" s="26" t="str">
        <x:v>Book a Consultation</x:v>
      </x:c>
      <x:c r="G12" s="26" t="str">
        <x:v>Consultation room or Dr. Sanjog reviewing reports with a patient (consent-based)</x:v>
      </x:c>
      <x:c r="H12" s="26" t="str">
        <x:v>Standard healthcare review required</x:v>
      </x:c>
      <x:c r="I12" s="26" t="str">
        <x:v>DRAFT</x:v>
      </x:c>
      <x:c r="J12" s="26" t="str">
        <x:v>None</x:v>
      </x:c>
      <x:c r="K12" s="26" t="str">
        <x:v>UNKNOWN</x:v>
      </x:c>
      <x:c r="L12" s="26" t="str">
        <x:v>jeevisha-gmb-foundation.md §9.3</x:v>
      </x:c>
    </x:row>
  </x:sheetData>
  <x:mergeCells>
    <x:mergeCell ref="A1:L1"/>
    <x:mergeCell ref="A2:L2"/>
  </x:mergeCells>
  <x:conditionalFormatting sqref="A5:L12">
    <x:cfRule type="expression" dxfId="7" priority="1">
      <x:formula>MOD(ROW(),2)=0</x:formula>
    </x:cfRule>
  </x:conditionalFormatting>
  <x:pageMargins left="0.7" right="0.7" top="0.75" bottom="0.75" header="0.3" footer="0.3"/>
  <x:tableParts count="1">
    <x:tablePart xmlns:r="http://schemas.openxmlformats.org/officeDocument/2006/relationships" r:id="R1fccd2a693bc4b8a"/>
  </x:tableParts>
</x:worksheet>
</file>

<file path=xl/worksheets/sheet8.xml><?xml version="1.0" encoding="utf-8"?>
<x:worksheet xmlns:x="http://schemas.openxmlformats.org/spreadsheetml/2006/main">
  <x:sheetFormatPr defaultRowHeight="15"/>
  <x:cols>
    <x:col min="1" max="1" width="10" hidden="0" customWidth="1"/>
    <x:col min="2" max="2" width="32" hidden="0" customWidth="1"/>
    <x:col min="3" max="3" width="45" hidden="0" customWidth="1"/>
    <x:col min="4" max="4" width="35" hidden="0" customWidth="1"/>
    <x:col min="5" max="5" width="30" hidden="0" customWidth="1"/>
    <x:col min="6" max="6" width="22" hidden="0" customWidth="1"/>
    <x:col min="7" max="7" width="12" hidden="0" customWidth="1"/>
    <x:col min="8" max="8" width="35" hidden="0" customWidth="1"/>
    <x:col min="9" max="9" width="40" hidden="0" customWidth="1"/>
    <x:col min="10" max="10" width="38" hidden="0" customWidth="1"/>
    <x:col min="11" max="11" width="38" hidden="0" customWidth="1"/>
    <x:col min="12" max="12" width="25" hidden="0" customWidth="1"/>
    <x:col min="13" max="13" width="20" hidden="0" customWidth="1"/>
    <x:col min="14" max="14" width="18" hidden="0" customWidth="1"/>
    <x:col min="15" max="15" width="42" hidden="0" customWidth="1"/>
    <x:col min="16" max="16" width="42" hidden="0" customWidth="1"/>
  </x:cols>
  <x:sheetData>
    <x:row r="1" ht="19.200000762939453" hidden="0" customHeight="1">
      <x:c r="A1" s="5" t="str">
        <x:v>Campaign Register</x:v>
      </x:c>
      <x:c r="B1" s="5"/>
      <x:c r="C1" s="5"/>
      <x:c r="D1" s="5"/>
      <x:c r="E1" s="5"/>
      <x:c r="F1" s="5"/>
      <x:c r="G1" s="5"/>
      <x:c r="H1" s="5"/>
      <x:c r="I1" s="5"/>
      <x:c r="J1" s="5"/>
      <x:c r="K1" s="5"/>
      <x:c r="L1" s="5"/>
      <x:c r="M1" s="5"/>
      <x:c r="N1" s="5"/>
      <x:c r="O1" s="5"/>
      <x:c r="P1" s="5"/>
    </x:row>
    <x:row r="2" ht="15" hidden="0" customHeight="1">
      <x:c r="A2" s="11" t="str">
        <x:v>Jeevisha Client Handover · Updated 2026-07-16 · statuses are evidence-based</x:v>
      </x:c>
      <x:c r="B2" s="11"/>
      <x:c r="C2" s="11"/>
      <x:c r="D2" s="11"/>
      <x:c r="E2" s="11"/>
      <x:c r="F2" s="11"/>
      <x:c r="G2" s="11"/>
      <x:c r="H2" s="11"/>
      <x:c r="I2" s="11"/>
      <x:c r="J2" s="11"/>
      <x:c r="K2" s="11"/>
      <x:c r="L2" s="11"/>
      <x:c r="M2" s="11"/>
      <x:c r="N2" s="11"/>
      <x:c r="O2" s="11"/>
      <x:c r="P2" s="11"/>
    </x:row>
    <x:row r="3"/>
    <x:row r="4" ht="15" hidden="0" customHeight="1">
      <x:c r="A4" s="18" t="str">
        <x:v>Campaign_ID</x:v>
      </x:c>
      <x:c r="B4" s="18" t="str">
        <x:v>Campaign_Name</x:v>
      </x:c>
      <x:c r="C4" s="18" t="str">
        <x:v>Objective</x:v>
      </x:c>
      <x:c r="D4" s="18" t="str">
        <x:v>Offer</x:v>
      </x:c>
      <x:c r="E4" s="18" t="str">
        <x:v>Target_Audience</x:v>
      </x:c>
      <x:c r="F4" s="18" t="str">
        <x:v>Location</x:v>
      </x:c>
      <x:c r="G4" s="18" t="str">
        <x:v>Funnel</x:v>
      </x:c>
      <x:c r="H4" s="18" t="str">
        <x:v>Pain_Points</x:v>
      </x:c>
      <x:c r="I4" s="18" t="str">
        <x:v>Value_Proposition</x:v>
      </x:c>
      <x:c r="J4" s="18" t="str">
        <x:v>Hooks</x:v>
      </x:c>
      <x:c r="K4" s="18" t="str">
        <x:v>Creative_Angles</x:v>
      </x:c>
      <x:c r="L4" s="18" t="str">
        <x:v>CTA</x:v>
      </x:c>
      <x:c r="M4" s="18" t="str">
        <x:v>Approval_Status</x:v>
      </x:c>
      <x:c r="N4" s="18" t="str">
        <x:v>Published_Status</x:v>
      </x:c>
      <x:c r="O4" s="18" t="str">
        <x:v>Problems</x:v>
      </x:c>
      <x:c r="P4" s="18" t="str">
        <x:v>Next_Action</x:v>
      </x:c>
    </x:row>
    <x:row r="5" ht="21.600000381469727" hidden="0" customHeight="1">
      <x:c r="A5" s="26" t="str">
        <x:v>CAM-01</x:v>
      </x:c>
      <x:c r="B5" s="26" t="str">
        <x:v>Surgery Avoidance &amp; Second Opinion</x:v>
      </x:c>
      <x:c r="C5" s="26" t="str">
        <x:v>Generate qualified second-opinion consultations for patients told they need knee or spine surgery.</x:v>
      </x:c>
      <x:c r="D5" s="26" t="str">
        <x:v>Structured surgery second-opinion consultation; price/free status unverified.</x:v>
      </x:c>
      <x:c r="E5" s="26" t="str">
        <x:v>Surgery-anxious seniors, caregivers, chronic pain sufferers</x:v>
      </x:c>
      <x:c r="F5" s="26" t="str">
        <x:v>Wakad, PCMC, Hinjewadi, Pune</x:v>
      </x:c>
      <x:c r="G5" s="26" t="str">
        <x:v>MOFU/BOFU</x:v>
      </x:c>
      <x:c r="H5" s="26" t="str">
        <x:v>Fear of surgery; conflicting advice; need for MRI review and options.</x:v>
      </x:c>
      <x:c r="I5" s="26" t="str">
        <x:v>Every reasonable non-surgical option discussed honestly; surgery referred when appropriate.</x:v>
      </x:c>
      <x:c r="J5" s="26" t="str">
        <x:v>Told you need surgery? Get a second opinion first. | Bring your MRI — let's discuss.</x:v>
      </x:c>
      <x:c r="K5" s="26" t="str">
        <x:v>Doctor-led MRI review; questions-before-surgery carousel; patient decision journey.</x:v>
      </x:c>
      <x:c r="L5" s="26" t="str">
        <x:v>Get a second opinion / Bring your MRI</x:v>
      </x:c>
      <x:c r="M5" s="26" t="str">
        <x:v>DRAFT</x:v>
      </x:c>
      <x:c r="N5" s="26" t="str">
        <x:v>UNKNOWN</x:v>
      </x:c>
      <x:c r="O5" s="26" t="str">
        <x:v>Offer price, claims, page, consent and approvals missing.</x:v>
      </x:c>
      <x:c r="P5" s="26" t="str">
        <x:v>Confirm offer terms, clinical scope, landing page and approval workflow.</x:v>
      </x:c>
    </x:row>
    <x:row r="6" ht="21.600000381469727" hidden="0" customHeight="1">
      <x:c r="A6" s="26" t="str">
        <x:v>CAM-02</x:v>
      </x:c>
      <x:c r="B6" s="26" t="str">
        <x:v>Regenerative Medicine &amp; PRP Education</x:v>
      </x:c>
      <x:c r="C6" s="26" t="str">
        <x:v>Build category authority and enquiries for appropriate regenerative therapy candidates.</x:v>
      </x:c>
      <x:c r="D6" s="26" t="str">
        <x:v>PRP/regenerative evaluation; exact procedures, prices and candidacy require doctor confirmation.</x:v>
      </x:c>
      <x:c r="E6" s="26" t="str">
        <x:v>Knee OA patients, sports-injury patients, informed chronic pain patients</x:v>
      </x:c>
      <x:c r="F6" s="26" t="str">
        <x:v>Pune/PCMC</x:v>
      </x:c>
      <x:c r="G6" s="26" t="str">
        <x:v>TOFU/MOFU/BOFU</x:v>
      </x:c>
      <x:c r="H6" s="26" t="str">
        <x:v>Skepticism, confusion, price concerns, uncertainty about evidence.</x:v>
      </x:c>
      <x:c r="I6" s="26" t="str">
        <x:v>Evidence-led, image-guided regenerative options for carefully selected candidates.</x:v>
      </x:c>
      <x:c r="J6" s="26" t="str">
        <x:v>What is PRP therapy, really? | How PRP actually works.</x:v>
      </x:c>
      <x:c r="K6" s="26" t="str">
        <x:v>Procedure explainer; PRP vs cortisone; candidacy; cost transparency.</x:v>
      </x:c>
      <x:c r="L6" s="26" t="str">
        <x:v>Explore options / Book specialist evaluation</x:v>
      </x:c>
      <x:c r="M6" s="26" t="str">
        <x:v>DRAFT</x:v>
      </x:c>
      <x:c r="N6" s="26" t="str">
        <x:v>UNKNOWN</x:v>
      </x:c>
      <x:c r="O6" s="26" t="str">
        <x:v>Procedure list, evidence statements, duration, insurance and prices unverified.</x:v>
      </x:c>
      <x:c r="P6" s="26" t="str">
        <x:v>Doctor-review all treatment and candidacy claims.</x:v>
      </x:c>
    </x:row>
    <x:row r="7" ht="32.400001525878906" hidden="0" customHeight="1">
      <x:c r="A7" s="26" t="str">
        <x:v>CAM-03</x:v>
      </x:c>
      <x:c r="B7" s="26" t="str">
        <x:v>Knee Pain — Non-Surgical Options</x:v>
      </x:c>
      <x:c r="C7" s="26" t="str">
        <x:v>Attract knee-pain patients considering replacement or injections.</x:v>
      </x:c>
      <x:c r="D7" s="26" t="str">
        <x:v>Knee pain evaluation and non-surgical treatment discussion; offer terms unverified.</x:v>
      </x:c>
      <x:c r="E7" s="26" t="str">
        <x:v>Adults 45–70, caregivers, active adults</x:v>
      </x:c>
      <x:c r="F7" s="26" t="str">
        <x:v>Wakad/PCMC/Pune</x:v>
      </x:c>
      <x:c r="G7" s="26" t="str">
        <x:v>TOFU–BOFU</x:v>
      </x:c>
      <x:c r="H7" s="26" t="str">
        <x:v>Stair pain, mobility loss, replacement anxiety, cost uncertainty.</x:v>
      </x:c>
      <x:c r="I7" s="26" t="str">
        <x:v>Diagnosis-led knee care with regenerative/interventional options where appropriate.</x:v>
      </x:c>
      <x:c r="J7" s="26" t="str">
        <x:v>Most knee pain has more options than you have been told. | Knee cartilage worn out? Know this option before knee replacement.</x:v>
      </x:c>
      <x:c r="K7" s="26" t="str">
        <x:v>Stairs; morning walks; cartilage; PRP comparisons; second opinion.</x:v>
      </x:c>
      <x:c r="L7" s="26" t="str">
        <x:v>Book a knee evaluation / Get a second opinion</x:v>
      </x:c>
      <x:c r="M7" s="26" t="str">
        <x:v>DRAFT / REVISION_REQUESTED</x:v>
      </x:c>
      <x:c r="N7" s="26" t="str">
        <x:v>UNKNOWN</x:v>
      </x:c>
      <x:c r="O7" s="26" t="str">
        <x:v>Recent design variants not accessible as production files; clinical option unspecified.</x:v>
      </x:c>
      <x:c r="P7" s="26" t="str">
        <x:v>Collect editable creative, identify treatment being promoted, obtain doctor approval.</x:v>
      </x:c>
    </x:row>
    <x:row r="8" ht="21.600000381469727" hidden="0" customHeight="1">
      <x:c r="A8" s="26" t="str">
        <x:v>CAM-04</x:v>
      </x:c>
      <x:c r="B8" s="26" t="str">
        <x:v>Back/Spine Pain for Desk-Job Professionals</x:v>
      </x:c>
      <x:c r="C8" s="26" t="str">
        <x:v>Reach Hinjewadi/Wakad professionals with persistent back/neck pain.</x:v>
      </x:c>
      <x:c r="D8" s="26" t="str">
        <x:v>Specialist evaluation; evening appointment availability unverified.</x:v>
      </x:c>
      <x:c r="E8" s="26" t="str">
        <x:v>IT/software professionals aged 28–45</x:v>
      </x:c>
      <x:c r="F8" s="26" t="str">
        <x:v>Hinjewadi, Wakad, Baner</x:v>
      </x:c>
      <x:c r="G8" s="26" t="str">
        <x:v>TOFU/MOFU/BOFU</x:v>
      </x:c>
      <x:c r="H8" s="26" t="str">
        <x:v>Sitting, typing, commute, sleep disruption, work performance.</x:v>
      </x:c>
      <x:c r="I8" s="26" t="str">
        <x:v>Precise diagnosis and non-surgical pathways that respect time and work needs.</x:v>
      </x:c>
      <x:c r="J8" s="26" t="str">
        <x:v>Why your Hinjewadi desk job is hurting your back. | Finger numbness. Weak grip. Difficulty typing.</x:v>
      </x:c>
      <x:c r="K8" s="26" t="str">
        <x:v>Desk posture; MRI explanation; nerve compression; work-life impact.</x:v>
      </x:c>
      <x:c r="L8" s="26" t="str">
        <x:v>Book specialist evaluation / Send reports on WhatsApp</x:v>
      </x:c>
      <x:c r="M8" s="26" t="str">
        <x:v>DRAFT</x:v>
      </x:c>
      <x:c r="N8" s="26" t="str">
        <x:v>UNKNOWN</x:v>
      </x:c>
      <x:c r="O8" s="26" t="str">
        <x:v>Hours/appointment promise and canonical WhatsApp number need confirmation.</x:v>
      </x:c>
      <x:c r="P8" s="26" t="str">
        <x:v>Confirm appointment availability and produce first 3 scripts.</x:v>
      </x:c>
    </x:row>
    <x:row r="9" ht="21.600000381469727" hidden="0" customHeight="1">
      <x:c r="A9" s="26" t="str">
        <x:v>CAM-05</x:v>
      </x:c>
      <x:c r="B9" s="26" t="str">
        <x:v>Monsoon Joint Pain</x:v>
      </x:c>
      <x:c r="C9" s="26" t="str">
        <x:v>Seasonal awareness and appointment demand during monsoon.</x:v>
      </x:c>
      <x:c r="D9" s="26" t="str">
        <x:v>Same-week consultation was proposed but not verified.</x:v>
      </x:c>
      <x:c r="E9" s="26" t="str">
        <x:v>Joint-pain and arthritis patients</x:v>
      </x:c>
      <x:c r="F9" s="26" t="str">
        <x:v>Wakad/PCMC</x:v>
      </x:c>
      <x:c r="G9" s="26" t="str">
        <x:v>TOFU/BOFU</x:v>
      </x:c>
      <x:c r="H9" s="26" t="str">
        <x:v>Seasonal stiffness and flare perceptions.</x:v>
      </x:c>
      <x:c r="I9" s="26" t="str">
        <x:v>Helpful seasonal guidance and individualized evaluation.</x:v>
      </x:c>
      <x:c r="J9" s="26" t="str">
        <x:v>Monsoon joint pain is real. And treatable.</x:v>
      </x:c>
      <x:c r="K9" s="26" t="str">
        <x:v>Helpful tips; when to seek evaluation; local clinic update.</x:v>
      </x:c>
      <x:c r="L9" s="26" t="str">
        <x:v>Schedule an evaluation</x:v>
      </x:c>
      <x:c r="M9" s="26" t="str">
        <x:v>NEEDS_REVIEW</x:v>
      </x:c>
      <x:c r="N9" s="26" t="str">
        <x:v>UNKNOWN</x:v>
      </x:c>
      <x:c r="O9" s="26" t="str">
        <x:v>500+ patients claim and fear/urgency CTA are unsupported and conflict with active voice.</x:v>
      </x:c>
      <x:c r="P9" s="26" t="str">
        <x:v>Rewrite as education-first content; confirm clinical advice.</x:v>
      </x:c>
    </x:row>
    <x:row r="10" ht="21.600000381469727" hidden="0" customHeight="1">
      <x:c r="A10" s="26" t="str">
        <x:v>CAM-06</x:v>
      </x:c>
      <x:c r="B10" s="26" t="str">
        <x:v>Dr. Sanjog Founder Authority</x:v>
      </x:c>
      <x:c r="C10" s="26" t="str">
        <x:v>Build trust in Dr. Sanjog as the calm, fellowship-trained specialist and brand face.</x:v>
      </x:c>
      <x:c r="D10" s="26" t="str">
        <x:v>Doctor profile and consultation.</x:v>
      </x:c>
      <x:c r="E10" s="26" t="str">
        <x:v>All priority audiences, especially skeptical patients</x:v>
      </x:c>
      <x:c r="F10" s="26" t="str">
        <x:v>Pune/PCMC</x:v>
      </x:c>
      <x:c r="G10" s="26" t="str">
        <x:v>MOFU/BOFU</x:v>
      </x:c>
      <x:c r="H10" s="26" t="str">
        <x:v>Concern about expertise, being rushed, unclear advice.</x:v>
      </x:c>
      <x:c r="I10" s="26" t="str">
        <x:v>Fellowship-trained specialist who listens, explains and presents options.</x:v>
      </x:c>
      <x:c r="J10" s="26" t="str">
        <x:v>Fellowship-trained. Patient-first. Quietly confident. | How we work.</x:v>
      </x:c>
      <x:c r="K10" s="26" t="str">
        <x:v>Introduction video, MRI explanation, when surgery is necessary, conference/education.</x:v>
      </x:c>
      <x:c r="L10" s="26" t="str">
        <x:v>Talk to Dr. Sanjog / Book a consultation</x:v>
      </x:c>
      <x:c r="M10" s="26" t="str">
        <x:v>DRAFT</x:v>
      </x:c>
      <x:c r="N10" s="26" t="str">
        <x:v>UNKNOWN</x:v>
      </x:c>
      <x:c r="O10" s="26" t="str">
        <x:v>No approved portrait/video assets; no personal profile blueprint supplied.</x:v>
      </x:c>
      <x:c r="P10" s="26" t="str">
        <x:v>Collect portrait/video assets and define shoot plan.</x:v>
      </x:c>
    </x:row>
    <x:row r="11" ht="21.600000381469727" hidden="0" customHeight="1">
      <x:c r="A11" s="26" t="str">
        <x:v>CAM-07</x:v>
      </x:c>
      <x:c r="B11" s="26" t="str">
        <x:v>Wakad/PCMC/Hinjewadi Local Reach</x:v>
      </x:c>
      <x:c r="C11" s="26" t="str">
        <x:v>Improve local discovery and local-market relevance.</x:v>
      </x:c>
      <x:c r="D11" s="26" t="str">
        <x:v>Local specialist consultation.</x:v>
      </x:c>
      <x:c r="E11" s="26" t="str">
        <x:v>Residents and workers in primary service areas</x:v>
      </x:c>
      <x:c r="F11" s="26" t="str">
        <x:v>Wakad, PCMC, Hinjewadi, Pimple Saudagar, Baner, Aundh</x:v>
      </x:c>
      <x:c r="G11" s="26" t="str">
        <x:v>TOFU/BOFU</x:v>
      </x:c>
      <x:c r="H11" s="26" t="str">
        <x:v>Finding a credible nearby specialist; travel and access.</x:v>
      </x:c>
      <x:c r="I11" s="26" t="str">
        <x:v>Neighbourhood accessibility with specialist credentials.</x:v>
      </x:c>
      <x:c r="J11" s="26" t="str">
        <x:v>Caring for Wakad. Caring for Hinjewadi. Caring for PCMC.</x:v>
      </x:c>
      <x:c r="K11" s="26" t="str">
        <x:v>Directions, local patient profiles, desk-job content, clinic exterior/interior.</x:v>
      </x:c>
      <x:c r="L11" s="26" t="str">
        <x:v>Get directions / Call the clinic</x:v>
      </x:c>
      <x:c r="M11" s="26" t="str">
        <x:v>DRAFT</x:v>
      </x:c>
      <x:c r="N11" s="26" t="str">
        <x:v>UNKNOWN</x:v>
      </x:c>
      <x:c r="O11" s="26" t="str">
        <x:v>Exact canonical NAP, service areas and business hours need sign-off.</x:v>
      </x:c>
      <x:c r="P11" s="26" t="str">
        <x:v>Lock NAP and photograph exterior, parking and access.</x:v>
      </x:c>
    </x:row>
    <x:row r="12" ht="21.600000381469727" hidden="0" customHeight="1">
      <x:c r="A12" s="26" t="str">
        <x:v>CAM-08</x:v>
      </x:c>
      <x:c r="B12" s="26" t="str">
        <x:v>GMB 30-Day Growth</x:v>
      </x:c>
      <x:c r="C12" s="26" t="str">
        <x:v>Complete GBP foundation and establish recurring posts, photos, Q&amp;A and reviews.</x:v>
      </x:c>
      <x:c r="D12" s="26" t="str">
        <x:v>Not offer-led; profile optimization.</x:v>
      </x:c>
      <x:c r="E12" s="26" t="str">
        <x:v>Local search users</x:v>
      </x:c>
      <x:c r="F12" s="26" t="str">
        <x:v>Wakad/PCMC</x:v>
      </x:c>
      <x:c r="G12" s="26" t="str">
        <x:v>All</x:v>
      </x:c>
      <x:c r="H12" s="26" t="str">
        <x:v>Incomplete/uncertain profile state; limited verified performance data.</x:v>
      </x:c>
      <x:c r="I12" s="26" t="str">
        <x:v>Helpful, current, locally relevant profile.</x:v>
      </x:c>
      <x:c r="J12" s="26" t="str">
        <x:v>Eight month-one post drafts and ten seed Q&amp;As prepared.</x:v>
      </x:c>
      <x:c r="K12" s="26" t="str">
        <x:v>Education, trust, surgery avoidance, regenerative, local.</x:v>
      </x:c>
      <x:c r="L12" s="26" t="str">
        <x:v>Book, call, learn more as appropriate.</x:v>
      </x:c>
      <x:c r="M12" s="26" t="str">
        <x:v>DRAFT / AUDIT_PENDING</x:v>
      </x:c>
      <x:c r="N12" s="26" t="str">
        <x:v>UNKNOWN</x:v>
      </x:c>
      <x:c r="O12" s="26" t="str">
        <x:v>Manager access, verification, NAP, hours, photos and screenshot audit pending.</x:v>
      </x:c>
      <x:c r="P12" s="26" t="str">
        <x:v>Complete Manager audit before any edits.</x:v>
      </x:c>
    </x:row>
    <x:row r="13" ht="21.600000381469727" hidden="0" customHeight="1">
      <x:c r="A13" s="26" t="str">
        <x:v>CAM-09</x:v>
      </x:c>
      <x:c r="B13" s="26" t="str">
        <x:v>Review Generation</x:v>
      </x:c>
      <x:c r="C13" s="26" t="str">
        <x:v>Build review volume and respond consistently without privacy or policy breaches.</x:v>
      </x:c>
      <x:c r="D13" s="26" t="str">
        <x:v>Optional review request after meaningful care milestone.</x:v>
      </x:c>
      <x:c r="E13" s="26" t="str">
        <x:v>Eligible recent patients</x:v>
      </x:c>
      <x:c r="F13" s="26" t="str">
        <x:v>Wakad/PCMC</x:v>
      </x:c>
      <x:c r="G13" s="26" t="str">
        <x:v>Reputation/retention</x:v>
      </x:c>
      <x:c r="H13" s="26" t="str">
        <x:v>Low/uncertain review velocity and workflow ownership.</x:v>
      </x:c>
      <x:c r="I13" s="26" t="str">
        <x:v>Optional, respectful request; every review receives a thoughtful response.</x:v>
      </x:c>
      <x:c r="J13" s="26" t="str">
        <x:v>Thank you for trusting Jeevisha with your care.</x:v>
      </x:c>
      <x:c r="K13" s="26" t="str">
        <x:v>English/Marathi request, response templates, QR/review link.</x:v>
      </x:c>
      <x:c r="L13" s="26" t="str">
        <x:v>Leave a review only if comfortable.</x:v>
      </x:c>
      <x:c r="M13" s="26" t="str">
        <x:v>DRAFT</x:v>
      </x:c>
      <x:c r="N13" s="26" t="str">
        <x:v>UNKNOWN</x:v>
      </x:c>
      <x:c r="O13" s="26" t="str">
        <x:v>Consent/privacy workflow, owner, link and canonical phone need confirmation.</x:v>
      </x:c>
      <x:c r="P13" s="26" t="str">
        <x:v>Assign workflow owner and create privacy-safe request log.</x:v>
      </x:c>
    </x:row>
    <x:row r="14" ht="21.600000381469727" hidden="0" customHeight="1">
      <x:c r="A14" s="26" t="str">
        <x:v>CAM-10</x:v>
      </x:c>
      <x:c r="B14" s="26" t="str">
        <x:v>Sports Injury Return to Activity</x:v>
      </x:c>
      <x:c r="C14" s="26" t="str">
        <x:v>Build awareness among active adults seeking non-surgical options and function-focused recovery.</x:v>
      </x:c>
      <x:c r="D14" s="26" t="str">
        <x:v>Sports injury pain evaluation; exact treatments unverified.</x:v>
      </x:c>
      <x:c r="E14" s="26" t="str">
        <x:v>Runners, gym users, cricketers, active adults 20–45</x:v>
      </x:c>
      <x:c r="F14" s="26" t="str">
        <x:v>Pune/PCMC</x:v>
      </x:c>
      <x:c r="G14" s="26" t="str">
        <x:v>TOFU/MOFU</x:v>
      </x:c>
      <x:c r="H14" s="26" t="str">
        <x:v>Fear of losing sport, generic rest advice, surgery anxiety.</x:v>
      </x:c>
      <x:c r="I14" s="26" t="str">
        <x:v>Diagnosis-led plan with regenerative/interventional options when appropriate.</x:v>
      </x:c>
      <x:c r="J14" s="26" t="str">
        <x:v>Get back in the game — after the right evaluation.</x:v>
      </x:c>
      <x:c r="K14" s="26" t="str">
        <x:v>Return-to-running, PRP education, shoulder/knee injuries.</x:v>
      </x:c>
      <x:c r="L14" s="26" t="str">
        <x:v>Book a sports injury assessment</x:v>
      </x:c>
      <x:c r="M14" s="26" t="str">
        <x:v>DRAFT</x:v>
      </x:c>
      <x:c r="N14" s="26" t="str">
        <x:v>UNKNOWN</x:v>
      </x:c>
      <x:c r="O14" s="26" t="str">
        <x:v>No athlete testimonials, partner proof or treatment scope confirmed.</x:v>
      </x:c>
      <x:c r="P14" s="26" t="str">
        <x:v>Doctor-confirm conditions/services and collect consented case material.</x:v>
      </x:c>
    </x:row>
    <x:row r="15" ht="21.600000381469727" hidden="0" customHeight="1">
      <x:c r="A15" s="26" t="str">
        <x:v>CAM-11</x:v>
      </x:c>
      <x:c r="B15" s="26" t="str">
        <x:v>SEO Authority Rollout</x:v>
      </x:c>
      <x:c r="C15" s="26" t="str">
        <x:v>Build local organic visibility across knee, spine, surgery avoidance and regenerative clusters.</x:v>
      </x:c>
      <x:c r="D15" s="26" t="str">
        <x:v>Website information and consultation pathways.</x:v>
      </x:c>
      <x:c r="E15" s="26" t="str">
        <x:v>Problem-aware through booking-ready search users</x:v>
      </x:c>
      <x:c r="F15" s="26" t="str">
        <x:v>Wakad/PCMC/Pune</x:v>
      </x:c>
      <x:c r="G15" s="26" t="str">
        <x:v>TOFU–BOFU</x:v>
      </x:c>
      <x:c r="H15" s="26" t="str">
        <x:v>Weak content depth, local competition, unclear category awareness.</x:v>
      </x:c>
      <x:c r="I15" s="26" t="str">
        <x:v>Clear, evidence-led content tied to specialist evaluation.</x:v>
      </x:c>
      <x:c r="J15" s="26" t="str">
        <x:v>Surgery avoidance, local pain searches, regenerative education.</x:v>
      </x:c>
      <x:c r="K15" s="26" t="str">
        <x:v>Pillar-and-spoke pages, location pages, FAQs, comparison content.</x:v>
      </x:c>
      <x:c r="L15" s="26" t="str">
        <x:v>Learn / get second opinion / book consultation by funnel stage.</x:v>
      </x:c>
      <x:c r="M15" s="26" t="str">
        <x:v>DRAFT</x:v>
      </x:c>
      <x:c r="N15" s="26" t="str">
        <x:v>UNKNOWN</x:v>
      </x:c>
      <x:c r="O15" s="26" t="str">
        <x:v>No Search Console/GA4 baseline; exact NAP and website implementation status unknown.</x:v>
      </x:c>
      <x:c r="P15" s="26" t="str">
        <x:v>Technical audit, GSC/GA4 access and P0 page build.</x:v>
      </x:c>
    </x:row>
  </x:sheetData>
  <x:mergeCells>
    <x:mergeCell ref="A1:P1"/>
    <x:mergeCell ref="A2:P2"/>
  </x:mergeCells>
  <x:conditionalFormatting sqref="A5:P15">
    <x:cfRule type="expression" dxfId="8" priority="1">
      <x:formula>MOD(ROW(),2)=0</x:formula>
    </x:cfRule>
  </x:conditionalFormatting>
  <x:pageMargins left="0.7" right="0.7" top="0.75" bottom="0.75" header="0.3" footer="0.3"/>
  <x:tableParts count="1">
    <x:tablePart xmlns:r="http://schemas.openxmlformats.org/officeDocument/2006/relationships" r:id="R7591b859d34f4213"/>
  </x:tableParts>
</x:worksheet>
</file>

<file path=xl/worksheets/sheet9.xml><?xml version="1.0" encoding="utf-8"?>
<x:worksheet xmlns:x="http://schemas.openxmlformats.org/spreadsheetml/2006/main">
  <x:sheetFormatPr defaultRowHeight="15"/>
  <x:cols>
    <x:col min="1" max="1" width="30" hidden="0" customWidth="1"/>
    <x:col min="2" max="2" width="55" hidden="0" customWidth="1"/>
    <x:col min="3" max="3" width="18" hidden="0" customWidth="1"/>
    <x:col min="4" max="4" width="42" hidden="0" customWidth="1"/>
    <x:col min="5" max="5" width="50" hidden="0" customWidth="1"/>
  </x:cols>
  <x:sheetData>
    <x:row r="1" ht="19.200000762939453" hidden="0" customHeight="1">
      <x:c r="A1" s="5" t="str">
        <x:v>Client Details and Claims Register</x:v>
      </x:c>
      <x:c r="B1" s="5"/>
      <x:c r="C1" s="5"/>
      <x:c r="D1" s="5"/>
      <x:c r="E1" s="5"/>
    </x:row>
    <x:row r="2" ht="15" hidden="0" customHeight="1">
      <x:c r="A2" s="11" t="str">
        <x:v>Jeevisha Client Handover · Updated 2026-07-16 · statuses are evidence-based</x:v>
      </x:c>
      <x:c r="B2" s="11"/>
      <x:c r="C2" s="11"/>
      <x:c r="D2" s="11"/>
      <x:c r="E2" s="11"/>
    </x:row>
    <x:row r="3"/>
    <x:row r="4" ht="15" hidden="0" customHeight="1">
      <x:c r="A4" s="18" t="str">
        <x:v>Field</x:v>
      </x:c>
      <x:c r="B4" s="18" t="str">
        <x:v>Value</x:v>
      </x:c>
      <x:c r="C4" s="18" t="str">
        <x:v>Claim_Status</x:v>
      </x:c>
      <x:c r="D4" s="18" t="str">
        <x:v>Source</x:v>
      </x:c>
      <x:c r="E4" s="18" t="str">
        <x:v>Notes</x:v>
      </x:c>
    </x:row>
    <x:row r="5" ht="21.600000381469727" hidden="0" customHeight="1">
      <x:c r="A5" s="26" t="str">
        <x:v>Client / active strategic brand name</x:v>
      </x:c>
      <x:c r="B5" s="26" t="str">
        <x:v>Jeevisha Spine Pain &amp; Regenerative Clinic</x:v>
      </x:c>
      <x:c r="C5" s="26" t="str">
        <x:v>CONFLICTING</x:v>
      </x:c>
      <x:c r="D5" s="26" t="str">
        <x:v>Jeevisha_Master_Brand_Brain_vFinal.md; live GBP uses stuffed 'Jeevisha Pain Clinic...' name</x:v>
      </x:c>
      <x:c r="E5" s="26" t="str">
        <x:v>Preferred active strategic name, but founder/NAP sign-off is recorded as pending.</x:v>
      </x:c>
    </x:row>
    <x:row r="6" ht="21.600000381469727" hidden="0" customHeight="1">
      <x:c r="A6" s="26" t="str">
        <x:v>Live GBP business name</x:v>
      </x:c>
      <x:c r="B6" s="26" t="str">
        <x:v>Jeevisha Pain Clinic | Pain Management Clinic PCMC/Pune | Dr. Sanjog Mekewar - Pain Specialist Doctor</x:v>
      </x:c>
      <x:c r="C6" s="26" t="str">
        <x:v>PUBLISHED</x:v>
      </x:c>
      <x:c r="D6" s="26" t="str">
        <x:v>gmb-overview.png (public Google Maps screenshot, 2026-07-16 project upload)</x:v>
      </x:c>
      <x:c r="E6" s="26" t="str">
        <x:v>Keyword-stuffed name; GMB Foundation identifies policy/suspension risk.</x:v>
      </x:c>
    </x:row>
    <x:row r="7" ht="21.600000381469727" hidden="0" customHeight="1">
      <x:c r="A7" s="26" t="str">
        <x:v>Older brand names</x:v>
      </x:c>
      <x:c r="B7" s="26" t="str">
        <x:v>Jeevisha Spine Pain &amp; Regenerative Hospital; Jeevisha Pain Management Center; Jeevisha Pain Clinic</x:v>
      </x:c>
      <x:c r="C7" s="26" t="str">
        <x:v>CONFLICTING</x:v>
      </x:c>
      <x:c r="D7" s="26" t="str">
        <x:v>Legacy design/prompting files and File Library poster references</x:v>
      </x:c>
      <x:c r="E7" s="26" t="str">
        <x:v>Do not propagate until canonical name is signed off.</x:v>
      </x:c>
    </x:row>
    <x:row r="8" ht="21.600000381469727" hidden="0" customHeight="1">
      <x:c r="A8" s="26" t="str">
        <x:v>Business category</x:v>
      </x:c>
      <x:c r="B8" s="26" t="str">
        <x:v>Pain management physician / interventional pain management and regenerative medicine clinic</x:v>
      </x:c>
      <x:c r="C8" s="26" t="str">
        <x:v>PUBLISHED</x:v>
      </x:c>
      <x:c r="D8" s="26" t="str">
        <x:v>gmb-overview.png; active brand documents</x:v>
      </x:c>
      <x:c r="E8" s="26" t="str">
        <x:v>GBP category shown as Pain management physician.</x:v>
      </x:c>
    </x:row>
    <x:row r="9" ht="15" hidden="0" customHeight="1">
      <x:c r="A9" s="26" t="str">
        <x:v>Founder / lead doctor</x:v>
      </x:c>
      <x:c r="B9" s="26" t="str">
        <x:v>Dr. Sanjog Mekewar</x:v>
      </x:c>
      <x:c r="C9" s="26" t="str">
        <x:v>CONFIRMED</x:v>
      </x:c>
      <x:c r="D9" s="26" t="str">
        <x:v>Active Brand Brain, SEO Foundation, GMB Foundation, research</x:v>
      </x:c>
      <x:c r="E9" s="26" t="str">
        <x:v>Consistent across core sources.</x:v>
      </x:c>
    </x:row>
    <x:row r="10" ht="15" hidden="0" customHeight="1">
      <x:c r="A10" s="26" t="str">
        <x:v>Credentials</x:v>
      </x:c>
      <x:c r="B10" s="26" t="str">
        <x:v>MBBS, DA, DNB, FIPM, FIAPM</x:v>
      </x:c>
      <x:c r="C10" s="26" t="str">
        <x:v>CONFIRMED</x:v>
      </x:c>
      <x:c r="D10" s="26" t="str">
        <x:v>Active Brand Brain and GMB Foundation</x:v>
      </x:c>
      <x:c r="E10" s="26" t="str">
        <x:v>Must be verified against certificates before legal/public schema rollout.</x:v>
      </x:c>
    </x:row>
    <x:row r="11" ht="15" hidden="0" customHeight="1">
      <x:c r="A11" s="26" t="str">
        <x:v>Primary positioning</x:v>
      </x:c>
      <x:c r="B11" s="26" t="str">
        <x:v>Regenerative pain medicine + non-surgical options first + honest surgery second opinion</x:v>
      </x:c>
      <x:c r="C11" s="26" t="str">
        <x:v>DRAFT</x:v>
      </x:c>
      <x:c r="D11" s="26" t="str">
        <x:v>Active Brand Brain and SEO Foundation</x:v>
      </x:c>
      <x:c r="E11" s="26" t="str">
        <x:v>Strategic direction; not a medical outcome promise.</x:v>
      </x:c>
    </x:row>
    <x:row r="12" ht="15" hidden="0" customHeight="1">
      <x:c r="A12" s="26" t="str">
        <x:v>Primary location</x:v>
      </x:c>
      <x:c r="B12" s="26" t="str">
        <x:v>Wakad / Pimpri Chinchwad / Pune, Maharashtra</x:v>
      </x:c>
      <x:c r="C12" s="26" t="str">
        <x:v>CONFIRMED</x:v>
      </x:c>
      <x:c r="D12" s="26" t="str">
        <x:v>All active strategic sources</x:v>
      </x:c>
      <x:c r="E12" s="26" t="str">
        <x:v>General location consistent.</x:v>
      </x:c>
    </x:row>
    <x:row r="13" ht="21.600000381469727" hidden="0" customHeight="1">
      <x:c r="A13" s="26" t="str">
        <x:v>Published street address</x:v>
      </x:c>
      <x:c r="B13" s="26" t="str">
        <x:v>Shop No. 214 Solitaire Business Hub Road, Kalewadi Phata, Kaspate Wasti, Pune, Maharashtra 411057</x:v>
      </x:c>
      <x:c r="C13" s="26" t="str">
        <x:v>PUBLISHED</x:v>
      </x:c>
      <x:c r="D13" s="26" t="str">
        <x:v>gmb-overview.png</x:v>
      </x:c>
      <x:c r="E13" s="26" t="str">
        <x:v>Exact NAP still requires client sign-off and cross-platform audit.</x:v>
      </x:c>
    </x:row>
    <x:row r="14" ht="21.600000381469727" hidden="0" customHeight="1">
      <x:c r="A14" s="26" t="str">
        <x:v>Primary phone candidate</x:v>
      </x:c>
      <x:c r="B14" s="26" t="str">
        <x:v>+91 91191 11837</x:v>
      </x:c>
      <x:c r="C14" s="26" t="str">
        <x:v>CONFLICTING</x:v>
      </x:c>
      <x:c r="D14" s="26" t="str">
        <x:v>Active Brand Brain, GMB/SEO files, caption format, legacy poster</x:v>
      </x:c>
      <x:c r="E14" s="26" t="str">
        <x:v>Most frequently used; alternative number appears in a File Library contact screenshot.</x:v>
      </x:c>
    </x:row>
    <x:row r="15" ht="15" hidden="0" customHeight="1">
      <x:c r="A15" s="26" t="str">
        <x:v>Alternate phone found</x:v>
      </x:c>
      <x:c r="B15" s="26" t="str">
        <x:v>+91 90284 31238</x:v>
      </x:c>
      <x:c r="C15" s="26" t="str">
        <x:v>CONFLICTING</x:v>
      </x:c>
      <x:c r="D15" s="26" t="str">
        <x:v>File Library reference 1000066961.jpg</x:v>
      </x:c>
      <x:c r="E15" s="26" t="str">
        <x:v>Confirm whether old, doctor-specific, directory-specific or still active.</x:v>
      </x:c>
    </x:row>
    <x:row r="16" ht="15" hidden="0" customHeight="1">
      <x:c r="A16" s="26" t="str">
        <x:v>Website</x:v>
      </x:c>
      <x:c r="B16" s="26" t="str">
        <x:v>jeevishapainclinic.com</x:v>
      </x:c>
      <x:c r="C16" s="26" t="str">
        <x:v>PUBLISHED</x:v>
      </x:c>
      <x:c r="D16" s="26" t="str">
        <x:v>gmb-overview.png and active strategy documents</x:v>
      </x:c>
      <x:c r="E16" s="26" t="str">
        <x:v>Canonical www/https version requires technical confirmation.</x:v>
      </x:c>
    </x:row>
    <x:row r="17" ht="15" hidden="0" customHeight="1">
      <x:c r="A17" s="26" t="str">
        <x:v>Email address</x:v>
      </x:c>
      <x:c r="B17" s="26" t="str"/>
      <x:c r="C17" s="26" t="str">
        <x:v>UNVERIFIED</x:v>
      </x:c>
      <x:c r="D17" s="26" t="str">
        <x:v>Not found</x:v>
      </x:c>
      <x:c r="E17" s="26" t="str">
        <x:v>Collect official patient-facing and administrative email.</x:v>
      </x:c>
    </x:row>
    <x:row r="18" ht="15" hidden="0" customHeight="1">
      <x:c r="A18" s="26" t="str">
        <x:v>WhatsApp</x:v>
      </x:c>
      <x:c r="B18" s="26" t="str">
        <x:v>+91 91191 11837 proposed as WhatsApp Business</x:v>
      </x:c>
      <x:c r="C18" s="26" t="str">
        <x:v>UNVERIFIED</x:v>
      </x:c>
      <x:c r="D18" s="26" t="str">
        <x:v>GMB Foundation</x:v>
      </x:c>
      <x:c r="E18" s="26" t="str">
        <x:v>WhatsApp Business enablement explicitly marked to verify.</x:v>
      </x:c>
    </x:row>
    <x:row r="19" ht="15" hidden="0" customHeight="1">
      <x:c r="A19" s="26" t="str">
        <x:v>Business hours</x:v>
      </x:c>
      <x:c r="B19" s="26" t="str">
        <x:v>Public screenshot showed 'Open · Closes 9 pm' at capture time</x:v>
      </x:c>
      <x:c r="C19" s="26" t="str">
        <x:v>PUBLISHED</x:v>
      </x:c>
      <x:c r="D19" s="26" t="str">
        <x:v>gmb-overview.png</x:v>
      </x:c>
      <x:c r="E19" s="26" t="str">
        <x:v>Full day-by-day hours and special hours not available.</x:v>
      </x:c>
    </x:row>
    <x:row r="20" ht="15" hidden="0" customHeight="1">
      <x:c r="A20" s="26" t="str">
        <x:v>Languages</x:v>
      </x:c>
      <x:c r="B20" s="26" t="str">
        <x:v>English, Hindi and Marathi proposed</x:v>
      </x:c>
      <x:c r="C20" s="26" t="str">
        <x:v>UNVERIFIED</x:v>
      </x:c>
      <x:c r="D20" s="26" t="str">
        <x:v>GMB Q&amp;A draft</x:v>
      </x:c>
      <x:c r="E20" s="26" t="str">
        <x:v>Confirm doctor/team language capability before publishing.</x:v>
      </x:c>
    </x:row>
    <x:row r="21" ht="15" hidden="0" customHeight="1">
      <x:c r="A21" s="26" t="str">
        <x:v>Primary audience 1</x:v>
      </x:c>
      <x:c r="B21" s="26" t="str">
        <x:v>Desk-job professionals aged 28–45 in Hinjewadi/Wakad/Baner</x:v>
      </x:c>
      <x:c r="C21" s="26" t="str">
        <x:v>DRAFT</x:v>
      </x:c>
      <x:c r="D21" s="26" t="str">
        <x:v>Active Brand Brain</x:v>
      </x:c>
      <x:c r="E21" s="26" t="str">
        <x:v>Strategic ICP.</x:v>
      </x:c>
    </x:row>
    <x:row r="22" ht="15" hidden="0" customHeight="1">
      <x:c r="A22" s="26" t="str">
        <x:v>Primary audience 2</x:v>
      </x:c>
      <x:c r="B22" s="26" t="str">
        <x:v>Chronic pain sufferers aged 40–65 who are treatment-fatigued</x:v>
      </x:c>
      <x:c r="C22" s="26" t="str">
        <x:v>DRAFT</x:v>
      </x:c>
      <x:c r="D22" s="26" t="str">
        <x:v>Active Brand Brain</x:v>
      </x:c>
      <x:c r="E22" s="26" t="str">
        <x:v>Strategic ICP.</x:v>
      </x:c>
    </x:row>
    <x:row r="23" ht="15" hidden="0" customHeight="1">
      <x:c r="A23" s="26" t="str">
        <x:v>Secondary audiences</x:v>
      </x:c>
      <x:c r="B23" s="26" t="str">
        <x:v>Surgery-anxious seniors, caregivers, active adults/sports patients</x:v>
      </x:c>
      <x:c r="C23" s="26" t="str">
        <x:v>DRAFT</x:v>
      </x:c>
      <x:c r="D23" s="26" t="str">
        <x:v>Research and legacy Brand Brain</x:v>
      </x:c>
      <x:c r="E23" s="26" t="str">
        <x:v>Useful segments; active vFinal focuses two leading ICPs.</x:v>
      </x:c>
    </x:row>
    <x:row r="24" ht="15" hidden="0" customHeight="1">
      <x:c r="A24" s="26" t="str">
        <x:v>Core service family</x:v>
      </x:c>
      <x:c r="B24" s="26" t="str">
        <x:v>Interventional pain management, regenerative pain medicine, surgery second opinion</x:v>
      </x:c>
      <x:c r="C24" s="26" t="str">
        <x:v>DRAFT</x:v>
      </x:c>
      <x:c r="D24" s="26" t="str">
        <x:v>Active Brand Brain and GMB service drafts</x:v>
      </x:c>
      <x:c r="E24" s="26" t="str">
        <x:v>Exact scope requires doctor approval.</x:v>
      </x:c>
    </x:row>
    <x:row r="25" ht="21.600000381469727" hidden="0" customHeight="1">
      <x:c r="A25" s="26" t="str">
        <x:v>Conditions mentioned</x:v>
      </x:c>
      <x:c r="B25" s="26" t="str">
        <x:v>Back pain, knee pain, neck pain, sciatica, slipped disc, shoulder pain, sports injuries, fibromyalgia, CRPS, post-herpetic neuralgia, cancer pain and others</x:v>
      </x:c>
      <x:c r="C25" s="26" t="str">
        <x:v>DRAFT</x:v>
      </x:c>
      <x:c r="D25" s="26" t="str">
        <x:v>GMB Foundation and Research</x:v>
      </x:c>
      <x:c r="E25" s="26" t="str">
        <x:v>No master doctor-approved service list supplied.</x:v>
      </x:c>
    </x:row>
    <x:row r="26" ht="21.600000381469727" hidden="0" customHeight="1">
      <x:c r="A26" s="26" t="str">
        <x:v>Treatments mentioned</x:v>
      </x:c>
      <x:c r="B26" s="26" t="str">
        <x:v>PRP, biologics/stem-cell-related therapies, RFA, epidural injections, facet injections, vertebroplasty/kyphoplasty, nerve blocks and others</x:v>
      </x:c>
      <x:c r="C26" s="26" t="str">
        <x:v>DRAFT</x:v>
      </x:c>
      <x:c r="D26" s="26" t="str">
        <x:v>GMB Foundation and Research</x:v>
      </x:c>
      <x:c r="E26" s="26" t="str">
        <x:v>Requires clinical, regulatory and naming review.</x:v>
      </x:c>
    </x:row>
    <x:row r="27" ht="15" hidden="0" customHeight="1">
      <x:c r="A27" s="26" t="str">
        <x:v>Consultation price</x:v>
      </x:c>
      <x:c r="B27" s="26" t="str"/>
      <x:c r="C27" s="26" t="str">
        <x:v>UNVERIFIED</x:v>
      </x:c>
      <x:c r="D27" s="26" t="str">
        <x:v>Not supplied; draft recommends phone/WhatsApp confirmation</x:v>
      </x:c>
      <x:c r="E27" s="26" t="str">
        <x:v>Research contains proposed free/₹500 offers but no approval.</x:v>
      </x:c>
    </x:row>
    <x:row r="28" ht="15" hidden="0" customHeight="1">
      <x:c r="A28" s="26" t="str">
        <x:v>Treatment prices</x:v>
      </x:c>
      <x:c r="B28" s="26" t="str"/>
      <x:c r="C28" s="26" t="str">
        <x:v>UNVERIFIED</x:v>
      </x:c>
      <x:c r="D28" s="26" t="str">
        <x:v>No approved price list</x:v>
      </x:c>
      <x:c r="E28" s="26" t="str">
        <x:v>Research ranges and comparisons are market research only.</x:v>
      </x:c>
    </x:row>
    <x:row r="29" ht="15" hidden="0" customHeight="1">
      <x:c r="A29" s="26" t="str">
        <x:v>Current public review baseline</x:v>
      </x:c>
      <x:c r="B29" s="26" t="str">
        <x:v>4.9 average rating; 195 reviews</x:v>
      </x:c>
      <x:c r="C29" s="26" t="str">
        <x:v>PUBLISHED</x:v>
      </x:c>
      <x:c r="D29" s="26" t="str">
        <x:v>gmb-overview.png and redacted gmb-reviews screenshot</x:v>
      </x:c>
      <x:c r="E29" s="26" t="str">
        <x:v>Snapshot baseline, not GBP Manager analytics.</x:v>
      </x:c>
    </x:row>
    <x:row r="30" ht="15" hidden="0" customHeight="1">
      <x:c r="A30" s="26" t="str">
        <x:v>Monthly patient target</x:v>
      </x:c>
      <x:c r="B30" s="26" t="str">
        <x:v>150 patients per month</x:v>
      </x:c>
      <x:c r="C30" s="26" t="str">
        <x:v>DRAFT</x:v>
      </x:c>
      <x:c r="D30" s="26" t="str">
        <x:v>TaskOS/File Library project tracker</x:v>
      </x:c>
      <x:c r="E30" s="26" t="str">
        <x:v>Target only; no baseline, owner or measurement definition supplied.</x:v>
      </x:c>
    </x:row>
    <x:row r="31" ht="15" hidden="0" customHeight="1">
      <x:c r="A31" s="26" t="str">
        <x:v>Approval workflow</x:v>
      </x:c>
      <x:c r="B31" s="26" t="str"/>
      <x:c r="C31" s="26" t="str">
        <x:v>UNVERIFIED</x:v>
      </x:c>
      <x:c r="D31" s="26" t="str">
        <x:v>Not found</x:v>
      </x:c>
      <x:c r="E31" s="26" t="str">
        <x:v>No turnaround time, approver, channel or evidence standard documented.</x:v>
      </x:c>
    </x:row>
    <x:row r="32" ht="15" hidden="0" customHeight="1">
      <x:c r="A32" s="26" t="str">
        <x:v>Social media handles</x:v>
      </x:c>
      <x:c r="B32" s="26" t="str"/>
      <x:c r="C32" s="26" t="str">
        <x:v>UNVERIFIED</x:v>
      </x:c>
      <x:c r="D32" s="26" t="str">
        <x:v>Not found in accessible files</x:v>
      </x:c>
      <x:c r="E32" s="26" t="str">
        <x:v>Collect Instagram, Facebook, LinkedIn, YouTube and Practo URLs.</x:v>
      </x:c>
    </x:row>
    <x:row r="33" ht="21.600000381469727" hidden="0" customHeight="1">
      <x:c r="A33" s="26" t="str">
        <x:v>Awards/accreditations/associations</x:v>
      </x:c>
      <x:c r="B33" s="26" t="str"/>
      <x:c r="C33" s="26" t="str">
        <x:v>UNVERIFIED</x:v>
      </x:c>
      <x:c r="D33" s="26" t="str">
        <x:v>Research mentions possible associations but no client-approved proof</x:v>
      </x:c>
      <x:c r="E33" s="26" t="str">
        <x:v>Collect certificates/logos and usage rights.</x:v>
      </x:c>
    </x:row>
    <x:row r="34" ht="21.600000381469727" hidden="0" customHeight="1">
      <x:c r="A34" s="26" t="str">
        <x:v>Patient count / success claims</x:v>
      </x:c>
      <x:c r="B34" s="26" t="str"/>
      <x:c r="C34" s="26" t="str">
        <x:v>UNVERIFIED</x:v>
      </x:c>
      <x:c r="D34" s="26" t="str">
        <x:v>Research contains varying market/website claims; active brand rules reject unverified numbers</x:v>
      </x:c>
      <x:c r="E34" s="26" t="str">
        <x:v>Do not use until documentary evidence and doctor approval.</x:v>
      </x:c>
    </x:row>
  </x:sheetData>
  <x:mergeCells>
    <x:mergeCell ref="A1:E1"/>
    <x:mergeCell ref="A2:E2"/>
  </x:mergeCells>
  <x:conditionalFormatting sqref="A5:E34">
    <x:cfRule type="expression" dxfId="9" priority="1">
      <x:formula>MOD(ROW(),2)=0</x:formula>
    </x:cfRule>
  </x:conditionalFormatting>
  <x:pageMargins left="0.7" right="0.7" top="0.75" bottom="0.75" header="0.3" footer="0.3"/>
  <x:tableParts count="1">
    <x:tablePart xmlns:r="http://schemas.openxmlformats.org/officeDocument/2006/relationships" r:id="R6edaed0a9b524f7d"/>
  </x:tableParts>
</x:worksheet>
</file>

<file path=xl/worksheets/sheet10.xml><?xml version="1.0" encoding="utf-8"?>
<x:worksheet xmlns:x="http://schemas.openxmlformats.org/spreadsheetml/2006/main">
  <x:sheetFormatPr defaultRowHeight="15"/>
  <x:cols>
    <x:col min="1" max="1" width="10" hidden="0" customWidth="1"/>
    <x:col min="2" max="2" width="28" hidden="0" customWidth="1"/>
    <x:col min="3" max="3" width="35" hidden="0" customWidth="1"/>
    <x:col min="4" max="4" width="40" hidden="0" customWidth="1"/>
    <x:col min="5" max="5" width="38" hidden="0" customWidth="1"/>
    <x:col min="6" max="6" width="38" hidden="0" customWidth="1"/>
    <x:col min="7" max="7" width="55" hidden="0" customWidth="1"/>
    <x:col min="8" max="8" width="22" hidden="0" customWidth="1"/>
    <x:col min="9" max="9" width="10" hidden="0" customWidth="1"/>
    <x:col min="10" max="10" width="12" hidden="0" customWidth="1"/>
  </x:cols>
  <x:sheetData>
    <x:row r="1" ht="19.200000762939453" hidden="0" customHeight="1">
      <x:c r="A1" s="5" t="str">
        <x:v>Conflict and Risk Register</x:v>
      </x:c>
      <x:c r="B1" s="5"/>
      <x:c r="C1" s="5"/>
      <x:c r="D1" s="5"/>
      <x:c r="E1" s="5"/>
      <x:c r="F1" s="5"/>
      <x:c r="G1" s="5"/>
      <x:c r="H1" s="5"/>
      <x:c r="I1" s="5"/>
      <x:c r="J1" s="5"/>
    </x:row>
    <x:row r="2" ht="15" hidden="0" customHeight="1">
      <x:c r="A2" s="11" t="str">
        <x:v>Jeevisha Client Handover · Updated 2026-07-16 · statuses are evidence-based</x:v>
      </x:c>
      <x:c r="B2" s="11"/>
      <x:c r="C2" s="11"/>
      <x:c r="D2" s="11"/>
      <x:c r="E2" s="11"/>
      <x:c r="F2" s="11"/>
      <x:c r="G2" s="11"/>
      <x:c r="H2" s="11"/>
      <x:c r="I2" s="11"/>
      <x:c r="J2" s="11"/>
    </x:row>
    <x:row r="3"/>
    <x:row r="4" ht="15" hidden="0" customHeight="1">
      <x:c r="A4" s="18" t="str">
        <x:v>Conflict_ID</x:v>
      </x:c>
      <x:c r="B4" s="18" t="str">
        <x:v>Subject</x:v>
      </x:c>
      <x:c r="C4" s="18" t="str">
        <x:v>Value_A</x:v>
      </x:c>
      <x:c r="D4" s="18" t="str">
        <x:v>Value_B</x:v>
      </x:c>
      <x:c r="E4" s="18" t="str">
        <x:v>Sources</x:v>
      </x:c>
      <x:c r="F4" s="18" t="str">
        <x:v>Risk</x:v>
      </x:c>
      <x:c r="G4" s="18" t="str">
        <x:v>Recommended_Decision</x:v>
      </x:c>
      <x:c r="H4" s="18" t="str">
        <x:v>Owner</x:v>
      </x:c>
      <x:c r="I4" s="18" t="str">
        <x:v>Priority</x:v>
      </x:c>
      <x:c r="J4" s="18" t="str">
        <x:v>Status</x:v>
      </x:c>
    </x:row>
    <x:row r="5" ht="21.600000381469727" hidden="0" customHeight="1">
      <x:c r="A5" s="26" t="str">
        <x:v>RISK-01</x:v>
      </x:c>
      <x:c r="B5" s="26" t="str">
        <x:v>Canonical business name</x:v>
      </x:c>
      <x:c r="C5" s="26" t="str">
        <x:v>Jeevisha Spine Pain &amp; Regenerative Clinic</x:v>
      </x:c>
      <x:c r="D5" s="26" t="str">
        <x:v>Hospital / Pain Clinic / Pain Management Center / stuffed GBP name</x:v>
      </x:c>
      <x:c r="E5" s="26" t="str">
        <x:v>Active Brand Brain; legacy design files; public GBP; File Library poster</x:v>
      </x:c>
      <x:c r="F5" s="26" t="str">
        <x:v>NAP inconsistency, brand confusion, GBP policy risk</x:v>
      </x:c>
      <x:c r="G5" s="26" t="str">
        <x:v>Founder signs one legal/trading name and one GBP-compliant public name; propagate via controlled change log.</x:v>
      </x:c>
      <x:c r="H5" s="26" t="str">
        <x:v>Founder + PM</x:v>
      </x:c>
      <x:c r="I5" s="26" t="str">
        <x:v>P0</x:v>
      </x:c>
      <x:c r="J5" s="26" t="str">
        <x:v>OPEN</x:v>
      </x:c>
    </x:row>
    <x:row r="6" ht="21.600000381469727" hidden="0" customHeight="1">
      <x:c r="A6" s="26" t="str">
        <x:v>RISK-02</x:v>
      </x:c>
      <x:c r="B6" s="26" t="str">
        <x:v>Primary phone / WhatsApp</x:v>
      </x:c>
      <x:c r="C6" s="26" t="str">
        <x:v>+91 91191 11837</x:v>
      </x:c>
      <x:c r="D6" s="26" t="str">
        <x:v>+91 90284 31238</x:v>
      </x:c>
      <x:c r="E6" s="26" t="str">
        <x:v>Active docs/caption/poster vs File Library contact screenshot</x:v>
      </x:c>
      <x:c r="F6" s="26" t="str">
        <x:v>Lost leads, incorrect public contact, NAP inconsistency</x:v>
      </x:c>
      <x:c r="G6" s="26" t="str">
        <x:v>Test both numbers, confirm purpose/ownership, retire or label alternate, update all platforms.</x:v>
      </x:c>
      <x:c r="H6" s="26" t="str">
        <x:v>PM + Front desk</x:v>
      </x:c>
      <x:c r="I6" s="26" t="str">
        <x:v>P0</x:v>
      </x:c>
      <x:c r="J6" s="26" t="str">
        <x:v>OPEN</x:v>
      </x:c>
    </x:row>
    <x:row r="7" ht="21.600000381469727" hidden="0" customHeight="1">
      <x:c r="A7" s="26" t="str">
        <x:v>RISK-03</x:v>
      </x:c>
      <x:c r="B7" s="26" t="str">
        <x:v>Exact address formatting</x:v>
      </x:c>
      <x:c r="C7" s="26" t="str">
        <x:v>Generic Wakad/PCMC/Pune</x:v>
      </x:c>
      <x:c r="D7" s="26" t="str">
        <x:v>Shop No. 214 Solitaire Business Hub Road, Kalewadi Phata, Kaspate Wasti, Pune 411057</x:v>
      </x:c>
      <x:c r="E7" s="26" t="str">
        <x:v>Strategic docs vs public GBP screenshot</x:v>
      </x:c>
      <x:c r="F7" s="26" t="str">
        <x:v>Local SEO and patient navigation errors</x:v>
      </x:c>
      <x:c r="G7" s="26" t="str">
        <x:v>Founder confirms postal address, landmark, city, PIN and parking/directions; lock exact NAP string.</x:v>
      </x:c>
      <x:c r="H7" s="26" t="str">
        <x:v>Founder + PM</x:v>
      </x:c>
      <x:c r="I7" s="26" t="str">
        <x:v>P0</x:v>
      </x:c>
      <x:c r="J7" s="26" t="str">
        <x:v>OPEN</x:v>
      </x:c>
    </x:row>
    <x:row r="8" ht="15" hidden="0" customHeight="1">
      <x:c r="A8" s="26" t="str">
        <x:v>RISK-04</x:v>
      </x:c>
      <x:c r="B8" s="26" t="str">
        <x:v>Clinic vs hospital category</x:v>
      </x:c>
      <x:c r="C8" s="26" t="str">
        <x:v>Specialist clinic / pain management physician</x:v>
      </x:c>
      <x:c r="D8" s="26" t="str">
        <x:v>Hospital naming in legacy files</x:v>
      </x:c>
      <x:c r="E8" s="26" t="str">
        <x:v>Active Brand Brain/GBP vs legacy prompting/design files</x:v>
      </x:c>
      <x:c r="F8" s="26" t="str">
        <x:v>Misrepresentation, inconsistent category and creative footer</x:v>
      </x:c>
      <x:c r="G8" s="26" t="str">
        <x:v>Confirm registered establishment type and update all legacy templates.</x:v>
      </x:c>
      <x:c r="H8" s="26" t="str">
        <x:v>Founder + Compliance</x:v>
      </x:c>
      <x:c r="I8" s="26" t="str">
        <x:v>P0</x:v>
      </x:c>
      <x:c r="J8" s="26" t="str">
        <x:v>OPEN</x:v>
      </x:c>
    </x:row>
    <x:row r="9" ht="21.600000381469727" hidden="0" customHeight="1">
      <x:c r="A9" s="26" t="str">
        <x:v>RISK-05</x:v>
      </x:c>
      <x:c r="B9" s="26" t="str">
        <x:v>GBP name stuffing</x:v>
      </x:c>
      <x:c r="C9" s="26" t="str">
        <x:v>Compliant fallback: Jeevisha Pain Clinic</x:v>
      </x:c>
      <x:c r="D9" s="26" t="str">
        <x:v>Live keyword-stuffed name with services/location/doctor</x:v>
      </x:c>
      <x:c r="E9" s="26" t="str">
        <x:v>GMB Foundation and public screenshot</x:v>
      </x:c>
      <x:c r="F9" s="26" t="str">
        <x:v>Profile edits/suspension and governance risk</x:v>
      </x:c>
      <x:c r="G9" s="26" t="str">
        <x:v>Audit current ranking and business evidence; decide compliant transition with owner approval.</x:v>
      </x:c>
      <x:c r="H9" s="26" t="str">
        <x:v>Founder + GMB lead</x:v>
      </x:c>
      <x:c r="I9" s="26" t="str">
        <x:v>P0</x:v>
      </x:c>
      <x:c r="J9" s="26" t="str">
        <x:v>OPEN</x:v>
      </x:c>
    </x:row>
    <x:row r="10" ht="21.600000381469727" hidden="0" customHeight="1">
      <x:c r="A10" s="26" t="str">
        <x:v>RISK-06</x:v>
      </x:c>
      <x:c r="B10" s="26" t="str">
        <x:v>Design system authority</x:v>
      </x:c>
      <x:c r="C10" s="26" t="str">
        <x:v>vFinal Brand Brain + written design instructions</x:v>
      </x:c>
      <x:c r="D10" s="26" t="str">
        <x:v>HTML visual render and legacy research/design variants</x:v>
      </x:c>
      <x:c r="E10" s="26" t="str">
        <x:v>Local files and project notes</x:v>
      </x:c>
      <x:c r="F10" s="26" t="str">
        <x:v>Palette/type/name drift</x:v>
      </x:c>
      <x:c r="G10" s="26" t="str">
        <x:v>Use vFinal Brand Brain as strategic authority; written design guide for production; HTML as internal demo only.</x:v>
      </x:c>
      <x:c r="H10" s="26" t="str">
        <x:v>Creative lead</x:v>
      </x:c>
      <x:c r="I10" s="26" t="str">
        <x:v>P0</x:v>
      </x:c>
      <x:c r="J10" s="26" t="str">
        <x:v>OPEN</x:v>
      </x:c>
    </x:row>
    <x:row r="11" ht="15" hidden="0" customHeight="1">
      <x:c r="A11" s="26" t="str">
        <x:v>RISK-07</x:v>
      </x:c>
      <x:c r="B11" s="26" t="str">
        <x:v>Premium level</x:v>
      </x:c>
      <x:c r="C11" s="26" t="str">
        <x:v>7/10 premium-justified</x:v>
      </x:c>
      <x:c r="D11" s="26" t="str">
        <x:v>5/10 mid-market specialist</x:v>
      </x:c>
      <x:c r="E11" s="26" t="str">
        <x:v>vFinal Brand Brain vs brain.md</x:v>
      </x:c>
      <x:c r="F11" s="26" t="str">
        <x:v>Inconsistent visual and copy execution</x:v>
      </x:c>
      <x:c r="G11" s="26" t="str">
        <x:v>Use 7/10 vFinal; archive 5/10 as legacy context.</x:v>
      </x:c>
      <x:c r="H11" s="26" t="str">
        <x:v>Brand lead</x:v>
      </x:c>
      <x:c r="I11" s="26" t="str">
        <x:v>P1</x:v>
      </x:c>
      <x:c r="J11" s="26" t="str">
        <x:v>OPEN</x:v>
      </x:c>
    </x:row>
    <x:row r="12" ht="21.600000381469727" hidden="0" customHeight="1">
      <x:c r="A12" s="26" t="str">
        <x:v>RISK-08</x:v>
      </x:c>
      <x:c r="B12" s="26" t="str">
        <x:v>Palette direction</x:v>
      </x:c>
      <x:c r="C12" s="26" t="str">
        <x:v>Royal Blue #073B8E + Green #45B42A + white/ivory</x:v>
      </x:c>
      <x:c r="D12" s="26" t="str">
        <x:v>Teal/amber recommendation in raw research</x:v>
      </x:c>
      <x:c r="E12" s="26" t="str">
        <x:v>vFinal Brand Brain/design system vs Research</x:v>
      </x:c>
      <x:c r="F12" s="26" t="str">
        <x:v>Visual inconsistency</x:v>
      </x:c>
      <x:c r="G12" s="26" t="str">
        <x:v>Use locked blue/green/white palette; retain teal/amber only as discarded research direction.</x:v>
      </x:c>
      <x:c r="H12" s="26" t="str">
        <x:v>Creative lead</x:v>
      </x:c>
      <x:c r="I12" s="26" t="str">
        <x:v>P0</x:v>
      </x:c>
      <x:c r="J12" s="26" t="str">
        <x:v>OPEN</x:v>
      </x:c>
    </x:row>
    <x:row r="13" ht="15" hidden="0" customHeight="1">
      <x:c r="A13" s="26" t="str">
        <x:v>RISK-09</x:v>
      </x:c>
      <x:c r="B13" s="26" t="str">
        <x:v>Typography emphasis</x:v>
      </x:c>
      <x:c r="C13" s="26" t="str">
        <x:v>Modern sans primary; serif only festival/reflection</x:v>
      </x:c>
      <x:c r="D13" s="26" t="str">
        <x:v>HTML demo uses serif prominently</x:v>
      </x:c>
      <x:c r="E13" s="26" t="str">
        <x:v>vFinal Brand Brain vs visual render</x:v>
      </x:c>
      <x:c r="F13" s="26" t="str">
        <x:v>Design drift if demo is treated as canonical</x:v>
      </x:c>
      <x:c r="G13" s="26" t="str">
        <x:v>Follow vFinal typography rules; HTML demonstrates hierarchy only.</x:v>
      </x:c>
      <x:c r="H13" s="26" t="str">
        <x:v>Creative lead</x:v>
      </x:c>
      <x:c r="I13" s="26" t="str">
        <x:v>P1</x:v>
      </x:c>
      <x:c r="J13" s="26" t="str">
        <x:v>OPEN</x:v>
      </x:c>
    </x:row>
    <x:row r="14" ht="15" hidden="0" customHeight="1">
      <x:c r="A14" s="26" t="str">
        <x:v>RISK-10</x:v>
      </x:c>
      <x:c r="B14" s="26" t="str">
        <x:v>Fictional patient/outcome placeholders</x:v>
      </x:c>
      <x:c r="C14" s="26" t="str">
        <x:v>Internal demo only</x:v>
      </x:c>
      <x:c r="D14" s="26" t="str">
        <x:v>Mrs. M / 2 km walk and demo stat appear in HTML/GMB drafts</x:v>
      </x:c>
      <x:c r="E14" s="26" t="str">
        <x:v>HTML, GMB post draft, project note</x:v>
      </x:c>
      <x:c r="F14" s="26" t="str">
        <x:v>False testimonial, unsupported medical claim, consent breach</x:v>
      </x:c>
      <x:c r="G14" s="26" t="str">
        <x:v>Quarantine; replace only with consented, verified case copy approved by doctor.</x:v>
      </x:c>
      <x:c r="H14" s="26" t="str">
        <x:v>PM + Doctor + Compliance</x:v>
      </x:c>
      <x:c r="I14" s="26" t="str">
        <x:v>P0</x:v>
      </x:c>
      <x:c r="J14" s="26" t="str">
        <x:v>OPEN</x:v>
      </x:c>
    </x:row>
    <x:row r="15" ht="21.600000381469727" hidden="0" customHeight="1">
      <x:c r="A15" s="26" t="str">
        <x:v>RISK-11</x:v>
      </x:c>
      <x:c r="B15" s="26" t="str">
        <x:v>Medical/outcome claims</x:v>
      </x:c>
      <x:c r="C15" s="26" t="str">
        <x:v>Active rules: may help, case-dependent, no guarantee</x:v>
      </x:c>
      <x:c r="D15" s="26" t="str">
        <x:v>Research: 80% avoid surgery, no surgery needed, pain-free, instant/quick outcome angles</x:v>
      </x:c>
      <x:c r="E15" s="26" t="str">
        <x:v>Brand Brain vs Research/ad drafts</x:v>
      </x:c>
      <x:c r="F15" s="26" t="str">
        <x:v>Medical advertising and trust risk</x:v>
      </x:c>
      <x:c r="G15" s="26" t="str">
        <x:v>Reject unsupported claims; doctor and legal/compliance review all treatment/outcome copy.</x:v>
      </x:c>
      <x:c r="H15" s="26" t="str">
        <x:v>Doctor + Compliance</x:v>
      </x:c>
      <x:c r="I15" s="26" t="str">
        <x:v>P0</x:v>
      </x:c>
      <x:c r="J15" s="26" t="str">
        <x:v>OPEN</x:v>
      </x:c>
    </x:row>
    <x:row r="16" ht="21.600000381469727" hidden="0" customHeight="1">
      <x:c r="A16" s="26" t="str">
        <x:v>RISK-12</x:v>
      </x:c>
      <x:c r="B16" s="26" t="str">
        <x:v>Prices and offers</x:v>
      </x:c>
      <x:c r="C16" s="26" t="str">
        <x:v>No approved pricing; GMB recommends no flat prices yet</x:v>
      </x:c>
      <x:c r="D16" s="26" t="str">
        <x:v>Free consult, ₹500 second opinion, free MRI review, PRP/surgery cost comparisons</x:v>
      </x:c>
      <x:c r="E16" s="26" t="str">
        <x:v>GMB Foundation vs Research</x:v>
      </x:c>
      <x:c r="F16" s="26" t="str">
        <x:v>Misleading offer, margin/reputation issues</x:v>
      </x:c>
      <x:c r="G16" s="26" t="str">
        <x:v>Client signs current price/offer sheet with validity and inclusions before use.</x:v>
      </x:c>
      <x:c r="H16" s="26" t="str">
        <x:v>Founder + Finance/PM</x:v>
      </x:c>
      <x:c r="I16" s="26" t="str">
        <x:v>P0</x:v>
      </x:c>
      <x:c r="J16" s="26" t="str">
        <x:v>OPEN</x:v>
      </x:c>
    </x:row>
    <x:row r="17" ht="15" hidden="0" customHeight="1">
      <x:c r="A17" s="26" t="str">
        <x:v>RISK-13</x:v>
      </x:c>
      <x:c r="B17" s="26" t="str">
        <x:v>Business hours</x:v>
      </x:c>
      <x:c r="C17" s="26" t="str">
        <x:v>Public snapshot: closes 9 pm</x:v>
      </x:c>
      <x:c r="D17" s="26" t="str">
        <x:v>No complete weekly hours</x:v>
      </x:c>
      <x:c r="E17" s="26" t="str">
        <x:v>GBP screenshot vs missing NAP data</x:v>
      </x:c>
      <x:c r="F17" s="26" t="str">
        <x:v>Missed visits and listing inconsistency</x:v>
      </x:c>
      <x:c r="G17" s="26" t="str">
        <x:v>Collect day-by-day and special hours; update website/GBP/directories.</x:v>
      </x:c>
      <x:c r="H17" s="26" t="str">
        <x:v>Front desk + GMB lead</x:v>
      </x:c>
      <x:c r="I17" s="26" t="str">
        <x:v>P0</x:v>
      </x:c>
      <x:c r="J17" s="26" t="str">
        <x:v>OPEN</x:v>
      </x:c>
    </x:row>
    <x:row r="18" ht="15" hidden="0" customHeight="1">
      <x:c r="A18" s="26" t="str">
        <x:v>RISK-14</x:v>
      </x:c>
      <x:c r="B18" s="26" t="str">
        <x:v>WhatsApp Business status</x:v>
      </x:c>
      <x:c r="C18" s="26" t="str">
        <x:v>Proposed on +91 91191 11837</x:v>
      </x:c>
      <x:c r="D18" s="26" t="str">
        <x:v>Not verified</x:v>
      </x:c>
      <x:c r="E18" s="26" t="str">
        <x:v>GMB Foundation/project state</x:v>
      </x:c>
      <x:c r="F18" s="26" t="str">
        <x:v>Broken CTA and review workflow</x:v>
      </x:c>
      <x:c r="G18" s="26" t="str">
        <x:v>Confirm account, ownership, privacy, quick replies and response SLA.</x:v>
      </x:c>
      <x:c r="H18" s="26" t="str">
        <x:v>PM + Front desk</x:v>
      </x:c>
      <x:c r="I18" s="26" t="str">
        <x:v>P0</x:v>
      </x:c>
      <x:c r="J18" s="26" t="str">
        <x:v>OPEN</x:v>
      </x:c>
    </x:row>
    <x:row r="19" ht="15" hidden="0" customHeight="1">
      <x:c r="A19" s="26" t="str">
        <x:v>RISK-15</x:v>
      </x:c>
      <x:c r="B19" s="26" t="str">
        <x:v>Patient photo/story consent</x:v>
      </x:c>
      <x:c r="C19" s="26" t="str">
        <x:v>Required for identifiable content</x:v>
      </x:c>
      <x:c r="D19" s="26" t="str">
        <x:v>No consent process or records found</x:v>
      </x:c>
      <x:c r="E19" s="26" t="str">
        <x:v>GMB Foundation/project state</x:v>
      </x:c>
      <x:c r="F19" s="26" t="str">
        <x:v>Privacy and medical ethics breach</x:v>
      </x:c>
      <x:c r="G19" s="26" t="str">
        <x:v>Implement signed consent form, storage register, withdrawal process and usage scope.</x:v>
      </x:c>
      <x:c r="H19" s="26" t="str">
        <x:v>Founder + PM</x:v>
      </x:c>
      <x:c r="I19" s="26" t="str">
        <x:v>P0</x:v>
      </x:c>
      <x:c r="J19" s="26" t="str">
        <x:v>OPEN</x:v>
      </x:c>
    </x:row>
    <x:row r="20" ht="15" hidden="0" customHeight="1">
      <x:c r="A20" s="26" t="str">
        <x:v>RISK-16</x:v>
      </x:c>
      <x:c r="B20" s="26" t="str">
        <x:v>Approval evidence</x:v>
      </x:c>
      <x:c r="C20" s="26" t="str">
        <x:v>No clear approvals found</x:v>
      </x:c>
      <x:c r="D20" s="26" t="str">
        <x:v>Several drafts/feedback assets exist</x:v>
      </x:c>
      <x:c r="E20" s="26" t="str">
        <x:v>All accessible history</x:v>
      </x:c>
      <x:c r="F20" s="26" t="str">
        <x:v>Drafts may be treated as approved/live</x:v>
      </x:c>
      <x:c r="G20" s="26" t="str">
        <x:v>Create approval log with approver, date, version, channel and publication link.</x:v>
      </x:c>
      <x:c r="H20" s="26" t="str">
        <x:v>PM</x:v>
      </x:c>
      <x:c r="I20" s="26" t="str">
        <x:v>P0</x:v>
      </x:c>
      <x:c r="J20" s="26" t="str">
        <x:v>OPEN</x:v>
      </x:c>
    </x:row>
    <x:row r="21" ht="15" hidden="0" customHeight="1">
      <x:c r="A21" s="26" t="str">
        <x:v>RISK-17</x:v>
      </x:c>
      <x:c r="B21" s="26" t="str">
        <x:v>Editable/source assets</x:v>
      </x:c>
      <x:c r="C21" s="26" t="str">
        <x:v>Expected logo, Canva/Figma/PSD/AI/CDR/video files</x:v>
      </x:c>
      <x:c r="D21" s="26" t="str">
        <x:v>None accessible</x:v>
      </x:c>
      <x:c r="E21" s="26" t="str">
        <x:v>File inventory/search</x:v>
      </x:c>
      <x:c r="F21" s="26" t="str">
        <x:v>Production rework and inconsistent logo/creative</x:v>
      </x:c>
      <x:c r="G21" s="26" t="str">
        <x:v>Collect and centralize source files with licences and owners.</x:v>
      </x:c>
      <x:c r="H21" s="26" t="str">
        <x:v>Creative lead + Client</x:v>
      </x:c>
      <x:c r="I21" s="26" t="str">
        <x:v>P0</x:v>
      </x:c>
      <x:c r="J21" s="26" t="str">
        <x:v>OPEN</x:v>
      </x:c>
    </x:row>
    <x:row r="22" ht="15" hidden="0" customHeight="1">
      <x:c r="A22" s="26" t="str">
        <x:v>RISK-18</x:v>
      </x:c>
      <x:c r="B22" s="26" t="str">
        <x:v>Performance data</x:v>
      </x:c>
      <x:c r="C22" s="26" t="str">
        <x:v>Targets and report templates available</x:v>
      </x:c>
      <x:c r="D22" s="26" t="str">
        <x:v>No platform exports or actual campaign reports</x:v>
      </x:c>
      <x:c r="E22" s="26" t="str">
        <x:v>SEO/GMB foundations vs file inventory</x:v>
      </x:c>
      <x:c r="F22" s="26" t="str">
        <x:v>No reliable baseline or ROI assessment</x:v>
      </x:c>
      <x:c r="G22" s="26" t="str">
        <x:v>Secure GA4, GSC, GBP Manager, Meta/Google Ads and CRM exports; define attribution.</x:v>
      </x:c>
      <x:c r="H22" s="26" t="str">
        <x:v>PM + Analytics</x:v>
      </x:c>
      <x:c r="I22" s="26" t="str">
        <x:v>P0</x:v>
      </x:c>
      <x:c r="J22" s="26" t="str">
        <x:v>OPEN</x:v>
      </x:c>
    </x:row>
    <x:row r="23" ht="21.600000381469727" hidden="0" customHeight="1">
      <x:c r="A23" s="26" t="str">
        <x:v>RISK-19</x:v>
      </x:c>
      <x:c r="B23" s="26" t="str">
        <x:v>Recent knee-cartilage creative status</x:v>
      </x:c>
      <x:c r="C23" s="26" t="str">
        <x:v>Design called 'ok' with requested changes</x:v>
      </x:c>
      <x:c r="D23" s="26" t="str">
        <x:v>No final approved file or medical treatment identified</x:v>
      </x:c>
      <x:c r="E23" s="26" t="str">
        <x:v>File Library feedback references</x:v>
      </x:c>
      <x:c r="F23" s="26" t="str">
        <x:v>Partial approval mistaken for final approval; unclear claim</x:v>
      </x:c>
      <x:c r="G23" s="26" t="str">
        <x:v>Apply requested edits in editable file, identify treatment/claim, obtain final written approval.</x:v>
      </x:c>
      <x:c r="H23" s="26" t="str">
        <x:v>Designer + Doctor + Client</x:v>
      </x:c>
      <x:c r="I23" s="26" t="str">
        <x:v>P1</x:v>
      </x:c>
      <x:c r="J23" s="26" t="str">
        <x:v>OPEN</x:v>
      </x:c>
    </x:row>
    <x:row r="24" ht="15" hidden="0" customHeight="1">
      <x:c r="A24" s="26" t="str">
        <x:v>RISK-20</x:v>
      </x:c>
      <x:c r="B24" s="26" t="str">
        <x:v>GMB current-state audit</x:v>
      </x:c>
      <x:c r="C24" s="26" t="str">
        <x:v>Public profile snapshot available</x:v>
      </x:c>
      <x:c r="D24" s="26" t="str">
        <x:v>Verification/access/performance manager data unknown</x:v>
      </x:c>
      <x:c r="E24" s="26" t="str">
        <x:v>Screenshots and GMB Foundation</x:v>
      </x:c>
      <x:c r="F24" s="26" t="str">
        <x:v>Optimization based on assumptions</x:v>
      </x:c>
      <x:c r="G24" s="26" t="str">
        <x:v>Complete 30-minute Manager audit before edits.</x:v>
      </x:c>
      <x:c r="H24" s="26" t="str">
        <x:v>GMB lead + PM</x:v>
      </x:c>
      <x:c r="I24" s="26" t="str">
        <x:v>P0</x:v>
      </x:c>
      <x:c r="J24" s="26" t="str">
        <x:v>OPEN</x:v>
      </x:c>
    </x:row>
  </x:sheetData>
  <x:mergeCells>
    <x:mergeCell ref="A1:J1"/>
    <x:mergeCell ref="A2:J2"/>
  </x:mergeCells>
  <x:conditionalFormatting sqref="A5:J24">
    <x:cfRule type="expression" dxfId="10" priority="1">
      <x:formula>MOD(ROW(),2)=0</x:formula>
    </x:cfRule>
  </x:conditionalFormatting>
  <x:conditionalFormatting sqref="I5:I24">
    <x:cfRule type="expression" dxfId="11" priority="2">
      <x:formula>I5="P0"</x:formula>
    </x:cfRule>
  </x:conditionalFormatting>
  <x:dataValidations count="1">
    <x:dataValidation type="list" sqref="I5:I24">
      <x:formula1>"P0,P1,P2,P3"</x:formula1>
    </x:dataValidation>
  </x:dataValidations>
  <x:pageMargins left="0.7" right="0.7" top="0.75" bottom="0.75" header="0.3" footer="0.3"/>
  <x:tableParts count="1">
    <x:tablePart xmlns:r="http://schemas.openxmlformats.org/officeDocument/2006/relationships" r:id="R6dac715d40cd4ab8"/>
  </x:tableParts>
</x:worksheet>
</file>

<file path=xl/worksheets/sheet11.xml><?xml version="1.0" encoding="utf-8"?>
<x:worksheet xmlns:x="http://schemas.openxmlformats.org/spreadsheetml/2006/main">
  <x:sheetFormatPr defaultRowHeight="15"/>
  <x:cols>
    <x:col min="1" max="1" width="10" hidden="0" customWidth="1"/>
    <x:col min="2" max="2" width="45" hidden="0" customWidth="1"/>
    <x:col min="3" max="3" width="20" hidden="0" customWidth="1"/>
    <x:col min="4" max="4" width="12" hidden="0" customWidth="1"/>
    <x:col min="5" max="5" width="15" hidden="0" customWidth="1"/>
    <x:col min="6" max="6" width="18" hidden="0" customWidth="1"/>
    <x:col min="7" max="7" width="30" hidden="0" customWidth="1"/>
    <x:col min="8" max="8" width="55" hidden="0" customWidth="1"/>
  </x:cols>
  <x:sheetData>
    <x:row r="1" ht="19.200000762939453" hidden="0" customHeight="1">
      <x:c r="A1" s="5" t="str">
        <x:v>Open Task Register</x:v>
      </x:c>
      <x:c r="B1" s="5"/>
      <x:c r="C1" s="5"/>
      <x:c r="D1" s="5"/>
      <x:c r="E1" s="5"/>
      <x:c r="F1" s="5"/>
      <x:c r="G1" s="5"/>
      <x:c r="H1" s="5"/>
    </x:row>
    <x:row r="2" ht="15" hidden="0" customHeight="1">
      <x:c r="A2" s="11" t="str">
        <x:v>Jeevisha Client Handover · Updated 2026-07-16 · statuses are evidence-based</x:v>
      </x:c>
      <x:c r="B2" s="11"/>
      <x:c r="C2" s="11"/>
      <x:c r="D2" s="11"/>
      <x:c r="E2" s="11"/>
      <x:c r="F2" s="11"/>
      <x:c r="G2" s="11"/>
      <x:c r="H2" s="11"/>
    </x:row>
    <x:row r="3"/>
    <x:row r="4" ht="15" hidden="0" customHeight="1">
      <x:c r="A4" s="18" t="str">
        <x:v>Task_ID</x:v>
      </x:c>
      <x:c r="B4" s="18" t="str">
        <x:v>Task</x:v>
      </x:c>
      <x:c r="C4" s="18" t="str">
        <x:v>Category</x:v>
      </x:c>
      <x:c r="D4" s="18" t="str">
        <x:v>Priority</x:v>
      </x:c>
      <x:c r="E4" s="18" t="str">
        <x:v>Status</x:v>
      </x:c>
      <x:c r="F4" s="18" t="str">
        <x:v>Owner</x:v>
      </x:c>
      <x:c r="G4" s="18" t="str">
        <x:v>Source</x:v>
      </x:c>
      <x:c r="H4" s="18" t="str">
        <x:v>Next_Action</x:v>
      </x:c>
    </x:row>
    <x:row r="5" ht="21.600000381469727" hidden="0" customHeight="1">
      <x:c r="A5" s="26" t="str">
        <x:v>TASK-001</x:v>
      </x:c>
      <x:c r="B5" s="26" t="str">
        <x:v>Confirm 150 monthly patients target definition and baseline</x:v>
      </x:c>
      <x:c r="C5" s="26" t="str">
        <x:v>General</x:v>
      </x:c>
      <x:c r="D5" s="26" t="str">
        <x:v>High</x:v>
      </x:c>
      <x:c r="E5" s="26" t="str">
        <x:v>OPEN</x:v>
      </x:c>
      <x:c r="F5" s="26" t="str"/>
      <x:c r="G5" s="26" t="str">
        <x:v>TaskOS/File Library</x:v>
      </x:c>
      <x:c r="H5" s="26" t="str">
        <x:v>Define whether target means unique consultations, procedures or all visits; add baseline and reporting owner.</x:v>
      </x:c>
    </x:row>
    <x:row r="6" ht="15" hidden="0" customHeight="1">
      <x:c r="A6" s="26" t="str">
        <x:v>TASK-002</x:v>
      </x:c>
      <x:c r="B6" s="26" t="str">
        <x:v>Prepare recurring Monday shoot plan</x:v>
      </x:c>
      <x:c r="C6" s="26" t="str">
        <x:v>Video</x:v>
      </x:c>
      <x:c r="D6" s="26" t="str">
        <x:v>Medium</x:v>
      </x:c>
      <x:c r="E6" s="26" t="str">
        <x:v>OPEN</x:v>
      </x:c>
      <x:c r="F6" s="26" t="str"/>
      <x:c r="G6" s="26" t="str">
        <x:v>TaskOS/File Library</x:v>
      </x:c>
      <x:c r="H6" s="26" t="str">
        <x:v>Create shot list including GMB photos, founder videos, equipment and privacy-safe B-roll.</x:v>
      </x:c>
    </x:row>
    <x:row r="7" ht="15" hidden="0" customHeight="1">
      <x:c r="A7" s="26" t="str">
        <x:v>TASK-003</x:v>
      </x:c>
      <x:c r="B7" s="26" t="str">
        <x:v>Write 15 video scripts</x:v>
      </x:c>
      <x:c r="C7" s="26" t="str">
        <x:v>Video</x:v>
      </x:c>
      <x:c r="D7" s="26" t="str">
        <x:v>Medium</x:v>
      </x:c>
      <x:c r="E7" s="26" t="str">
        <x:v>OPEN</x:v>
      </x:c>
      <x:c r="F7" s="26" t="str"/>
      <x:c r="G7" s="26" t="str">
        <x:v>TaskOS/File Library</x:v>
      </x:c>
      <x:c r="H7" s="26" t="str">
        <x:v>Use Marathi framework; doctor-review medical facts; log status per script.</x:v>
      </x:c>
    </x:row>
    <x:row r="8" ht="15" hidden="0" customHeight="1">
      <x:c r="A8" s="26" t="str">
        <x:v>TASK-004</x:v>
      </x:c>
      <x:c r="B8" s="26" t="str">
        <x:v>Define 360-degree marketing plan</x:v>
      </x:c>
      <x:c r="C8" s="26" t="str">
        <x:v>Strategy</x:v>
      </x:c>
      <x:c r="D8" s="26" t="str">
        <x:v>Normal</x:v>
      </x:c>
      <x:c r="E8" s="26" t="str">
        <x:v>OPEN</x:v>
      </x:c>
      <x:c r="F8" s="26" t="str"/>
      <x:c r="G8" s="26" t="str">
        <x:v>TaskOS/File Library</x:v>
      </x:c>
      <x:c r="H8" s="26" t="str">
        <x:v>Translate into channel plan, funnel, budget, owners and KPIs.</x:v>
      </x:c>
    </x:row>
    <x:row r="9" ht="21.600000381469727" hidden="0" customHeight="1">
      <x:c r="A9" s="26" t="str">
        <x:v>TASK-005</x:v>
      </x:c>
      <x:c r="B9" s="26" t="str">
        <x:v>Plan YouTube videos</x:v>
      </x:c>
      <x:c r="C9" s="26" t="str">
        <x:v>Video</x:v>
      </x:c>
      <x:c r="D9" s="26" t="str">
        <x:v>Medium</x:v>
      </x:c>
      <x:c r="E9" s="26" t="str">
        <x:v>OPEN</x:v>
      </x:c>
      <x:c r="F9" s="26" t="str"/>
      <x:c r="G9" s="26" t="str">
        <x:v>TaskOS/File Library</x:v>
      </x:c>
      <x:c r="H9" s="26" t="str">
        <x:v>Prioritize founder introduction, MRI review, PRP, surgery second opinion and patient-safe education.</x:v>
      </x:c>
    </x:row>
    <x:row r="10" ht="15" hidden="0" customHeight="1">
      <x:c r="A10" s="26" t="str">
        <x:v>TASK-006</x:v>
      </x:c>
      <x:c r="B10" s="26" t="str">
        <x:v>Complete Dr. Sanjog personal-profile planning</x:v>
      </x:c>
      <x:c r="C10" s="26" t="str">
        <x:v>Planning</x:v>
      </x:c>
      <x:c r="D10" s="26" t="str">
        <x:v>Medium</x:v>
      </x:c>
      <x:c r="E10" s="26" t="str">
        <x:v>OPEN</x:v>
      </x:c>
      <x:c r="F10" s="26" t="str"/>
      <x:c r="G10" s="26" t="str">
        <x:v>TaskOS/File Library</x:v>
      </x:c>
      <x:c r="H10" s="26" t="str">
        <x:v>Define LinkedIn/Instagram voice, content series, profile assets and publication cadence.</x:v>
      </x:c>
    </x:row>
    <x:row r="11" ht="15" hidden="0" customHeight="1">
      <x:c r="A11" s="26" t="str">
        <x:v>TASK-007</x:v>
      </x:c>
      <x:c r="B11" s="26" t="str">
        <x:v>Deliver LinkedIn and Instagram blueprint</x:v>
      </x:c>
      <x:c r="C11" s="26" t="str">
        <x:v>Social</x:v>
      </x:c>
      <x:c r="D11" s="26" t="str">
        <x:v>Medium</x:v>
      </x:c>
      <x:c r="E11" s="26" t="str">
        <x:v>OPEN</x:v>
      </x:c>
      <x:c r="F11" s="26" t="str"/>
      <x:c r="G11" s="26" t="str">
        <x:v>TaskOS/File Library</x:v>
      </x:c>
      <x:c r="H11" s="26" t="str">
        <x:v>Build channel-specific pillars, frequency, format and approval process.</x:v>
      </x:c>
    </x:row>
    <x:row r="12" ht="15" hidden="0" customHeight="1">
      <x:c r="A12" s="26" t="str">
        <x:v>TASK-008</x:v>
      </x:c>
      <x:c r="B12" s="26" t="str">
        <x:v>Obtain GBP Manager access for Digitech</x:v>
      </x:c>
      <x:c r="C12" s="26" t="str">
        <x:v>GMB</x:v>
      </x:c>
      <x:c r="D12" s="26" t="str">
        <x:v>P0</x:v>
      </x:c>
      <x:c r="E12" s="26" t="str">
        <x:v>OPEN</x:v>
      </x:c>
      <x:c r="F12" s="26" t="str"/>
      <x:c r="G12" s="26" t="str">
        <x:v>Project state</x:v>
      </x:c>
      <x:c r="H12" s="26" t="str">
        <x:v>Owner retains ownership; grant manager-level access; record date/account.</x:v>
      </x:c>
    </x:row>
    <x:row r="13" ht="15" hidden="0" customHeight="1">
      <x:c r="A13" s="26" t="str">
        <x:v>TASK-009</x:v>
      </x:c>
      <x:c r="B13" s="26" t="str">
        <x:v>Lock canonical NAP</x:v>
      </x:c>
      <x:c r="C13" s="26" t="str">
        <x:v>GMB/SEO</x:v>
      </x:c>
      <x:c r="D13" s="26" t="str">
        <x:v>P0</x:v>
      </x:c>
      <x:c r="E13" s="26" t="str">
        <x:v>OPEN</x:v>
      </x:c>
      <x:c r="F13" s="26" t="str"/>
      <x:c r="G13" s="26" t="str">
        <x:v>Project state</x:v>
      </x:c>
      <x:c r="H13" s="26" t="str">
        <x:v>Founder signs exact name, address, phone, website and hours.</x:v>
      </x:c>
    </x:row>
    <x:row r="14" ht="15" hidden="0" customHeight="1">
      <x:c r="A14" s="26" t="str">
        <x:v>TASK-010</x:v>
      </x:c>
      <x:c r="B14" s="26" t="str">
        <x:v>Decide compliant GBP business-name approach</x:v>
      </x:c>
      <x:c r="C14" s="26" t="str">
        <x:v>GMB</x:v>
      </x:c>
      <x:c r="D14" s="26" t="str">
        <x:v>P0</x:v>
      </x:c>
      <x:c r="E14" s="26" t="str">
        <x:v>OPEN</x:v>
      </x:c>
      <x:c r="F14" s="26" t="str"/>
      <x:c r="G14" s="26" t="str">
        <x:v>Project state/GMB Foundation</x:v>
      </x:c>
      <x:c r="H14" s="26" t="str">
        <x:v>Assess current name evidence/ranking and approve clean or transition path.</x:v>
      </x:c>
    </x:row>
    <x:row r="15" ht="21.600000381469727" hidden="0" customHeight="1">
      <x:c r="A15" s="26" t="str">
        <x:v>TASK-011</x:v>
      </x:c>
      <x:c r="B15" s="26" t="str">
        <x:v>Complete GBP screenshot/Manager audit</x:v>
      </x:c>
      <x:c r="C15" s="26" t="str">
        <x:v>GMB</x:v>
      </x:c>
      <x:c r="D15" s="26" t="str">
        <x:v>P0</x:v>
      </x:c>
      <x:c r="E15" s="26" t="str">
        <x:v>OPEN</x:v>
      </x:c>
      <x:c r="F15" s="26" t="str"/>
      <x:c r="G15" s="26" t="str">
        <x:v>Project state/GMB Foundation</x:v>
      </x:c>
      <x:c r="H15" s="26" t="str">
        <x:v>Capture verification, categories, services, posts, photos, Q&amp;A, hours and 90-day performance.</x:v>
      </x:c>
    </x:row>
    <x:row r="16" ht="15" hidden="0" customHeight="1">
      <x:c r="A16" s="26" t="str">
        <x:v>TASK-012</x:v>
      </x:c>
      <x:c r="B16" s="26" t="str">
        <x:v>Verify WhatsApp Business on canonical number</x:v>
      </x:c>
      <x:c r="C16" s="26" t="str">
        <x:v>CRM/Front desk</x:v>
      </x:c>
      <x:c r="D16" s="26" t="str">
        <x:v>P0</x:v>
      </x:c>
      <x:c r="E16" s="26" t="str">
        <x:v>OPEN</x:v>
      </x:c>
      <x:c r="F16" s="26" t="str"/>
      <x:c r="G16" s="26" t="str">
        <x:v>Project state</x:v>
      </x:c>
      <x:c r="H16" s="26" t="str">
        <x:v>Confirm ownership, privacy, quick replies, response hours and CTA links.</x:v>
      </x:c>
    </x:row>
    <x:row r="17" ht="21.600000381469727" hidden="0" customHeight="1">
      <x:c r="A17" s="26" t="str">
        <x:v>TASK-013</x:v>
      </x:c>
      <x:c r="B17" s="26" t="str">
        <x:v>Establish patient photo/story consent process</x:v>
      </x:c>
      <x:c r="C17" s="26" t="str">
        <x:v>Compliance</x:v>
      </x:c>
      <x:c r="D17" s="26" t="str">
        <x:v>P0</x:v>
      </x:c>
      <x:c r="E17" s="26" t="str">
        <x:v>OPEN</x:v>
      </x:c>
      <x:c r="F17" s="26" t="str"/>
      <x:c r="G17" s="26" t="str">
        <x:v>Project state/GMB Foundation</x:v>
      </x:c>
      <x:c r="H17" s="26" t="str">
        <x:v>Create consent form, register, storage location, permitted channels and withdrawal procedure.</x:v>
      </x:c>
    </x:row>
    <x:row r="18" ht="21.600000381469727" hidden="0" customHeight="1">
      <x:c r="A18" s="26" t="str">
        <x:v>TASK-014</x:v>
      </x:c>
      <x:c r="B18" s="26" t="str">
        <x:v>Collect logo master and variants</x:v>
      </x:c>
      <x:c r="C18" s="26" t="str">
        <x:v>Assets</x:v>
      </x:c>
      <x:c r="D18" s="26" t="str">
        <x:v>P0</x:v>
      </x:c>
      <x:c r="E18" s="26" t="str">
        <x:v>OPEN</x:v>
      </x:c>
      <x:c r="F18" s="26" t="str"/>
      <x:c r="G18" s="26" t="str">
        <x:v>Handover audit</x:v>
      </x:c>
      <x:c r="H18" s="26" t="str">
        <x:v>Collect SVG/AI/EPS/PDF + transparent PNG + monochrome variants; record owner and approval.</x:v>
      </x:c>
    </x:row>
    <x:row r="19" ht="15" hidden="0" customHeight="1">
      <x:c r="A19" s="26" t="str">
        <x:v>TASK-015</x:v>
      </x:c>
      <x:c r="B19" s="26" t="str">
        <x:v>Collect editable creative files and links</x:v>
      </x:c>
      <x:c r="C19" s="26" t="str">
        <x:v>Assets</x:v>
      </x:c>
      <x:c r="D19" s="26" t="str">
        <x:v>P0</x:v>
      </x:c>
      <x:c r="E19" s="26" t="str">
        <x:v>OPEN</x:v>
      </x:c>
      <x:c r="F19" s="26" t="str"/>
      <x:c r="G19" s="26" t="str">
        <x:v>Handover audit</x:v>
      </x:c>
      <x:c r="H19" s="26" t="str">
        <x:v>Collect Canva/Figma/PSD/AI/CDR/Premiere/AE links and source packages.</x:v>
      </x:c>
    </x:row>
    <x:row r="20" ht="15" hidden="0" customHeight="1">
      <x:c r="A20" s="26" t="str">
        <x:v>TASK-016</x:v>
      </x:c>
      <x:c r="B20" s="26" t="str">
        <x:v>Resolve phone-number conflict</x:v>
      </x:c>
      <x:c r="C20" s="26" t="str">
        <x:v>NAP</x:v>
      </x:c>
      <x:c r="D20" s="26" t="str">
        <x:v>P0</x:v>
      </x:c>
      <x:c r="E20" s="26" t="str">
        <x:v>OPEN</x:v>
      </x:c>
      <x:c r="F20" s="26" t="str"/>
      <x:c r="G20" s="26" t="str">
        <x:v>Handover audit</x:v>
      </x:c>
      <x:c r="H20" s="26" t="str">
        <x:v>Confirm +91 91191 11837 vs +91 90284 31238 and update all live surfaces.</x:v>
      </x:c>
    </x:row>
    <x:row r="21" ht="15" hidden="0" customHeight="1">
      <x:c r="A21" s="26" t="str">
        <x:v>TASK-017</x:v>
      </x:c>
      <x:c r="B21" s="26" t="str">
        <x:v>Doctor-review master services and treatment list</x:v>
      </x:c>
      <x:c r="C21" s="26" t="str">
        <x:v>Medical compliance</x:v>
      </x:c>
      <x:c r="D21" s="26" t="str">
        <x:v>P0</x:v>
      </x:c>
      <x:c r="E21" s="26" t="str">
        <x:v>OPEN</x:v>
      </x:c>
      <x:c r="F21" s="26" t="str"/>
      <x:c r="G21" s="26" t="str">
        <x:v>Handover audit</x:v>
      </x:c>
      <x:c r="H21" s="26" t="str">
        <x:v>Approve exact names, indications, exclusions and claims for 21 GBP service drafts.</x:v>
      </x:c>
    </x:row>
    <x:row r="22" ht="15" hidden="0" customHeight="1">
      <x:c r="A22" s="26" t="str">
        <x:v>TASK-018</x:v>
      </x:c>
      <x:c r="B22" s="26" t="str">
        <x:v>Create approval and publication log</x:v>
      </x:c>
      <x:c r="C22" s="26" t="str">
        <x:v>Governance</x:v>
      </x:c>
      <x:c r="D22" s="26" t="str">
        <x:v>P0</x:v>
      </x:c>
      <x:c r="E22" s="26" t="str">
        <x:v>OPEN</x:v>
      </x:c>
      <x:c r="F22" s="26" t="str"/>
      <x:c r="G22" s="26" t="str">
        <x:v>Handover audit</x:v>
      </x:c>
      <x:c r="H22" s="26" t="str">
        <x:v>Record asset version, approver, date, channel, status and live URL.</x:v>
      </x:c>
    </x:row>
    <x:row r="23" ht="15" hidden="0" customHeight="1">
      <x:c r="A23" s="26" t="str">
        <x:v>TASK-019</x:v>
      </x:c>
      <x:c r="B23" s="26" t="str">
        <x:v>Collect analytics/report access and exports</x:v>
      </x:c>
      <x:c r="C23" s="26" t="str">
        <x:v>Reports</x:v>
      </x:c>
      <x:c r="D23" s="26" t="str">
        <x:v>P0</x:v>
      </x:c>
      <x:c r="E23" s="26" t="str">
        <x:v>OPEN</x:v>
      </x:c>
      <x:c r="F23" s="26" t="str"/>
      <x:c r="G23" s="26" t="str">
        <x:v>Handover audit</x:v>
      </x:c>
      <x:c r="H23" s="26" t="str">
        <x:v>GBP, GA4, GSC, Meta, Google Ads, Instagram/Facebook, CRM, calls, appointments.</x:v>
      </x:c>
    </x:row>
    <x:row r="24" ht="15" hidden="0" customHeight="1">
      <x:c r="A24" s="26" t="str">
        <x:v>TASK-020</x:v>
      </x:c>
      <x:c r="B24" s="26" t="str">
        <x:v>Replace fictional/demo patient content</x:v>
      </x:c>
      <x:c r="C24" s="26" t="str">
        <x:v>Compliance/Content</x:v>
      </x:c>
      <x:c r="D24" s="26" t="str">
        <x:v>P0</x:v>
      </x:c>
      <x:c r="E24" s="26" t="str">
        <x:v>OPEN</x:v>
      </x:c>
      <x:c r="F24" s="26" t="str"/>
      <x:c r="G24" s="26" t="str">
        <x:v>Project note and audit</x:v>
      </x:c>
      <x:c r="H24" s="26" t="str">
        <x:v>Remove Mrs. M/demo stat from public-facing work; use consented verified cases only.</x:v>
      </x:c>
    </x:row>
    <x:row r="25" ht="21.600000381469727" hidden="0" customHeight="1">
      <x:c r="A25" s="26" t="str">
        <x:v>TASK-021</x:v>
      </x:c>
      <x:c r="B25" s="26" t="str">
        <x:v>Finalize recent knee-cartilage creative</x:v>
      </x:c>
      <x:c r="C25" s="26" t="str">
        <x:v>Design</x:v>
      </x:c>
      <x:c r="D25" s="26" t="str">
        <x:v>P1</x:v>
      </x:c>
      <x:c r="E25" s="26" t="str">
        <x:v>OPEN</x:v>
      </x:c>
      <x:c r="F25" s="26" t="str"/>
      <x:c r="G25" s="26" t="str">
        <x:v>File Library feedback</x:v>
      </x:c>
      <x:c r="H25" s="26" t="str">
        <x:v>White/cream version; remove top-left hospital text; reduce bottom copy; handwriting treatment; medical approval; final client sign-off.</x:v>
      </x:c>
    </x:row>
    <x:row r="26" ht="15" hidden="0" customHeight="1">
      <x:c r="A26" s="26" t="str">
        <x:v>TASK-022</x:v>
      </x:c>
      <x:c r="B26" s="26" t="str">
        <x:v>Implement GMB month-one drafts only after audit</x:v>
      </x:c>
      <x:c r="C26" s="26" t="str">
        <x:v>GMB</x:v>
      </x:c>
      <x:c r="D26" s="26" t="str">
        <x:v>P1</x:v>
      </x:c>
      <x:c r="E26" s="26" t="str">
        <x:v>BLOCKED</x:v>
      </x:c>
      <x:c r="F26" s="26" t="str"/>
      <x:c r="G26" s="26" t="str">
        <x:v>GMB Foundation</x:v>
      </x:c>
      <x:c r="H26" s="26" t="str">
        <x:v>Approve/rewrite 8 posts, 10 Q&amp;As, description and services after current-state audit.</x:v>
      </x:c>
    </x:row>
    <x:row r="27" ht="21.600000381469727" hidden="0" customHeight="1">
      <x:c r="A27" s="26" t="str">
        <x:v>TASK-023</x:v>
      </x:c>
      <x:c r="B27" s="26" t="str">
        <x:v>Implement P0 SEO pages and technical baseline</x:v>
      </x:c>
      <x:c r="C27" s="26" t="str">
        <x:v>SEO</x:v>
      </x:c>
      <x:c r="D27" s="26" t="str">
        <x:v>P1</x:v>
      </x:c>
      <x:c r="E27" s="26" t="str">
        <x:v>BLOCKED</x:v>
      </x:c>
      <x:c r="F27" s="26" t="str"/>
      <x:c r="G27" s="26" t="str">
        <x:v>SEO Foundation</x:v>
      </x:c>
      <x:c r="H27" s="26" t="str">
        <x:v>Audit current website; verify GSC/GA4; build Wakad/PCMC/Hinjewadi, doctor, knee/back, second opinion pages.</x:v>
      </x:c>
    </x:row>
    <x:row r="28" ht="21.600000381469727" hidden="0" customHeight="1">
      <x:c r="A28" s="26" t="str">
        <x:v>TASK-024</x:v>
      </x:c>
      <x:c r="B28" s="26" t="str">
        <x:v>Create privacy-safe review workflow</x:v>
      </x:c>
      <x:c r="C28" s="26" t="str">
        <x:v>GMB/Front desk</x:v>
      </x:c>
      <x:c r="D28" s="26" t="str">
        <x:v>P1</x:v>
      </x:c>
      <x:c r="E28" s="26" t="str">
        <x:v>BLOCKED</x:v>
      </x:c>
      <x:c r="F28" s="26" t="str"/>
      <x:c r="G28" s="26" t="str">
        <x:v>GMB Foundation</x:v>
      </x:c>
      <x:c r="H28" s="26" t="str">
        <x:v>Assign owner, use minimal patient data, secure log, one optional request, no rating pressure.</x:v>
      </x:c>
    </x:row>
  </x:sheetData>
  <x:mergeCells>
    <x:mergeCell ref="A1:H1"/>
    <x:mergeCell ref="A2:H2"/>
  </x:mergeCells>
  <x:conditionalFormatting sqref="A5:H28">
    <x:cfRule type="expression" dxfId="12" priority="1">
      <x:formula>MOD(ROW(),2)=0</x:formula>
    </x:cfRule>
  </x:conditionalFormatting>
  <x:conditionalFormatting sqref="D5:D28">
    <x:cfRule type="expression" dxfId="13" priority="2">
      <x:formula>OR(D5="P0",D5="High")</x:formula>
    </x:cfRule>
  </x:conditionalFormatting>
  <x:conditionalFormatting sqref="E5:E28">
    <x:cfRule type="expression" dxfId="14" priority="3">
      <x:formula>E5="BLOCKED"</x:formula>
    </x:cfRule>
  </x:conditionalFormatting>
  <x:dataValidations count="2">
    <x:dataValidation type="list" sqref="D5:D28">
      <x:formula1>"P0,P1,P2,P3,High,Medium,Normal"</x:formula1>
    </x:dataValidation>
    <x:dataValidation type="list" sqref="E5:E28">
      <x:formula1>"OPEN,BLOCKED,IN_PROGRESS,DONE,CANCELLED"</x:formula1>
    </x:dataValidation>
  </x:dataValidations>
  <x:pageMargins left="0.7" right="0.7" top="0.75" bottom="0.75" header="0.3" footer="0.3"/>
  <x:tableParts count="1">
    <x:tablePart xmlns:r="http://schemas.openxmlformats.org/officeDocument/2006/relationships" r:id="R3ed1001d2dc64ec5"/>
  </x:tableParts>
</x:worksheet>
</file>

<file path=xl/worksheets/sheet12.xml><?xml version="1.0" encoding="utf-8"?>
<x:worksheet xmlns:x="http://schemas.openxmlformats.org/spreadsheetml/2006/main">
  <x:sheetFormatPr defaultRowHeight="15"/>
  <x:cols>
    <x:col min="1" max="1" width="10" hidden="0" customWidth="1"/>
    <x:col min="2" max="2" width="32" hidden="0" customWidth="1"/>
    <x:col min="3" max="3" width="20" hidden="0" customWidth="1"/>
    <x:col min="4" max="4" width="22" hidden="0" customWidth="1"/>
    <x:col min="5" max="5" width="18" hidden="0" customWidth="1"/>
    <x:col min="6" max="6" width="20" hidden="0" customWidth="1"/>
    <x:col min="7" max="7" width="50" hidden="0" customWidth="1"/>
    <x:col min="8" max="8" width="30" hidden="0" customWidth="1"/>
    <x:col min="9" max="9" width="45" hidden="0" customWidth="1"/>
  </x:cols>
  <x:sheetData>
    <x:row r="1" ht="19.200000762939453" hidden="0" customHeight="1">
      <x:c r="A1" s="5" t="str">
        <x:v>Reports and Analytics Inventory</x:v>
      </x:c>
      <x:c r="B1" s="5"/>
      <x:c r="C1" s="5"/>
      <x:c r="D1" s="5"/>
      <x:c r="E1" s="5"/>
      <x:c r="F1" s="5"/>
      <x:c r="G1" s="5"/>
      <x:c r="H1" s="5"/>
      <x:c r="I1" s="5"/>
    </x:row>
    <x:row r="2" ht="15" hidden="0" customHeight="1">
      <x:c r="A2" s="11" t="str">
        <x:v>Jeevisha Client Handover · Updated 2026-07-16 · statuses are evidence-based</x:v>
      </x:c>
      <x:c r="B2" s="11"/>
      <x:c r="C2" s="11"/>
      <x:c r="D2" s="11"/>
      <x:c r="E2" s="11"/>
      <x:c r="F2" s="11"/>
      <x:c r="G2" s="11"/>
      <x:c r="H2" s="11"/>
      <x:c r="I2" s="11"/>
    </x:row>
    <x:row r="3"/>
    <x:row r="4" ht="15" hidden="0" customHeight="1">
      <x:c r="A4" s="18" t="str">
        <x:v>Report_ID</x:v>
      </x:c>
      <x:c r="B4" s="18" t="str">
        <x:v>Report_Name</x:v>
      </x:c>
      <x:c r="C4" s="18" t="str">
        <x:v>Report_Type</x:v>
      </x:c>
      <x:c r="D4" s="18" t="str">
        <x:v>Period</x:v>
      </x:c>
      <x:c r="E4" s="18" t="str">
        <x:v>Status</x:v>
      </x:c>
      <x:c r="F4" s="18" t="str">
        <x:v>Actual_or_Target</x:v>
      </x:c>
      <x:c r="G4" s="18" t="str">
        <x:v>Metrics</x:v>
      </x:c>
      <x:c r="H4" s="18" t="str">
        <x:v>Location</x:v>
      </x:c>
      <x:c r="I4" s="18" t="str">
        <x:v>Notes</x:v>
      </x:c>
    </x:row>
    <x:row r="5" ht="21.600000381469727" hidden="0" customHeight="1">
      <x:c r="A5" s="26" t="str">
        <x:v>RPT-001</x:v>
      </x:c>
      <x:c r="B5" s="26" t="str">
        <x:v>Public GBP profile snapshot</x:v>
      </x:c>
      <x:c r="C5" s="26" t="str">
        <x:v>Public baseline</x:v>
      </x:c>
      <x:c r="D5" s="26" t="str">
        <x:v>2026-07-16 project upload snapshot</x:v>
      </x:c>
      <x:c r="E5" s="26" t="str">
        <x:v>AVAILABLE_LIMITED</x:v>
      </x:c>
      <x:c r="F5" s="26" t="str">
        <x:v>ACTUAL PUBLIC SNAPSHOT</x:v>
      </x:c>
      <x:c r="G5" s="26" t="str">
        <x:v>4.9 rating; 195 reviews; live name/category/address/website; open/close snapshot</x:v>
      </x:c>
      <x:c r="H5" s="26" t="str">
        <x:v>05_GMB/Current_State</x:v>
      </x:c>
      <x:c r="I5" s="26" t="str">
        <x:v>Not a GBP Manager performance export.</x:v>
      </x:c>
    </x:row>
    <x:row r="6" ht="21.600000381469727" hidden="0" customHeight="1">
      <x:c r="A6" s="26" t="str">
        <x:v>RPT-002</x:v>
      </x:c>
      <x:c r="B6" s="26" t="str">
        <x:v>SEO measurement framework</x:v>
      </x:c>
      <x:c r="C6" s="26" t="str">
        <x:v>KPI framework</x:v>
      </x:c>
      <x:c r="D6" s="26" t="str">
        <x:v>12-month targets</x:v>
      </x:c>
      <x:c r="E6" s="26" t="str">
        <x:v>AVAILABLE_TEMPLATE</x:v>
      </x:c>
      <x:c r="F6" s="26" t="str">
        <x:v>TARGETS ONLY</x:v>
      </x:c>
      <x:c r="G6" s="26" t="str">
        <x:v>Organic enquiries, traffic, rankings, reviews, technical health</x:v>
      </x:c>
      <x:c r="H6" s="26" t="str">
        <x:v>seo-foundation.md; 08_REPORTS_AND_ANALYTICS</x:v>
      </x:c>
      <x:c r="I6" s="26" t="str">
        <x:v>No actual results supplied.</x:v>
      </x:c>
    </x:row>
    <x:row r="7" ht="15" hidden="0" customHeight="1">
      <x:c r="A7" s="26" t="str">
        <x:v>RPT-003</x:v>
      </x:c>
      <x:c r="B7" s="26" t="str">
        <x:v>GMB monthly report template</x:v>
      </x:c>
      <x:c r="C7" s="26" t="str">
        <x:v>Report template</x:v>
      </x:c>
      <x:c r="D7" s="26" t="str">
        <x:v>Monthly</x:v>
      </x:c>
      <x:c r="E7" s="26" t="str">
        <x:v>AVAILABLE_TEMPLATE</x:v>
      </x:c>
      <x:c r="F7" s="26" t="str">
        <x:v>TEMPLATE</x:v>
      </x:c>
      <x:c r="G7" s="26" t="str">
        <x:v>Calls/bookings, rankings, reviews, posts, photos, Q&amp;A, competitor movement</x:v>
      </x:c>
      <x:c r="H7" s="26" t="str">
        <x:v>05_GMB/Reports</x:v>
      </x:c>
      <x:c r="I7" s="26" t="str">
        <x:v>Needs Manager data and attribution.</x:v>
      </x:c>
    </x:row>
    <x:row r="8" ht="15" hidden="0" customHeight="1">
      <x:c r="A8" s="26" t="str">
        <x:v>RPT-004</x:v>
      </x:c>
      <x:c r="B8" s="26" t="str">
        <x:v>GMB 90-day performance baseline/export</x:v>
      </x:c>
      <x:c r="C8" s="26" t="str">
        <x:v>GBP analytics</x:v>
      </x:c>
      <x:c r="D8" s="26" t="str">
        <x:v>Last 90 days</x:v>
      </x:c>
      <x:c r="E8" s="26" t="str">
        <x:v>MISSING</x:v>
      </x:c>
      <x:c r="F8" s="26" t="str">
        <x:v>ACTUAL REQUIRED</x:v>
      </x:c>
      <x:c r="G8" s="26" t="str">
        <x:v>Searches, views, calls, directions, website clicks, queries</x:v>
      </x:c>
      <x:c r="H8" s="26" t="str">
        <x:v>MISSING</x:v>
      </x:c>
      <x:c r="I8" s="26" t="str">
        <x:v>Complete Manager audit.</x:v>
      </x:c>
    </x:row>
    <x:row r="9" ht="15" hidden="0" customHeight="1">
      <x:c r="A9" s="26" t="str">
        <x:v>RPT-005</x:v>
      </x:c>
      <x:c r="B9" s="26" t="str">
        <x:v>Instagram insights</x:v>
      </x:c>
      <x:c r="C9" s="26" t="str">
        <x:v>Social analytics</x:v>
      </x:c>
      <x:c r="D9" s="26" t="str"/>
      <x:c r="E9" s="26" t="str">
        <x:v>MISSING</x:v>
      </x:c>
      <x:c r="F9" s="26" t="str">
        <x:v>ACTUAL REQUIRED</x:v>
      </x:c>
      <x:c r="G9" s="26" t="str">
        <x:v>Reach, views, watch time, saves, shares, follows, profile actions</x:v>
      </x:c>
      <x:c r="H9" s="26" t="str">
        <x:v>MISSING</x:v>
      </x:c>
      <x:c r="I9" s="26" t="str"/>
    </x:row>
    <x:row r="10" ht="15" hidden="0" customHeight="1">
      <x:c r="A10" s="26" t="str">
        <x:v>RPT-006</x:v>
      </x:c>
      <x:c r="B10" s="26" t="str">
        <x:v>Facebook insights</x:v>
      </x:c>
      <x:c r="C10" s="26" t="str">
        <x:v>Social analytics</x:v>
      </x:c>
      <x:c r="D10" s="26" t="str"/>
      <x:c r="E10" s="26" t="str">
        <x:v>MISSING</x:v>
      </x:c>
      <x:c r="F10" s="26" t="str">
        <x:v>ACTUAL REQUIRED</x:v>
      </x:c>
      <x:c r="G10" s="26" t="str">
        <x:v>Reach, engagement, clicks, leads</x:v>
      </x:c>
      <x:c r="H10" s="26" t="str">
        <x:v>MISSING</x:v>
      </x:c>
      <x:c r="I10" s="26" t="str"/>
    </x:row>
    <x:row r="11" ht="15" hidden="0" customHeight="1">
      <x:c r="A11" s="26" t="str">
        <x:v>RPT-007</x:v>
      </x:c>
      <x:c r="B11" s="26" t="str">
        <x:v>Meta Ads report</x:v>
      </x:c>
      <x:c r="C11" s="26" t="str">
        <x:v>Paid media</x:v>
      </x:c>
      <x:c r="D11" s="26" t="str"/>
      <x:c r="E11" s="26" t="str">
        <x:v>MISSING</x:v>
      </x:c>
      <x:c r="F11" s="26" t="str">
        <x:v>ACTUAL REQUIRED</x:v>
      </x:c>
      <x:c r="G11" s="26" t="str">
        <x:v>Spend, impressions, CTR, CPL, leads, appointments, creative performance</x:v>
      </x:c>
      <x:c r="H11" s="26" t="str">
        <x:v>MISSING</x:v>
      </x:c>
      <x:c r="I11" s="26" t="str"/>
    </x:row>
    <x:row r="12" ht="15" hidden="0" customHeight="1">
      <x:c r="A12" s="26" t="str">
        <x:v>RPT-008</x:v>
      </x:c>
      <x:c r="B12" s="26" t="str">
        <x:v>Google Ads report</x:v>
      </x:c>
      <x:c r="C12" s="26" t="str">
        <x:v>Paid search</x:v>
      </x:c>
      <x:c r="D12" s="26" t="str"/>
      <x:c r="E12" s="26" t="str">
        <x:v>MISSING</x:v>
      </x:c>
      <x:c r="F12" s="26" t="str">
        <x:v>ACTUAL REQUIRED</x:v>
      </x:c>
      <x:c r="G12" s="26" t="str">
        <x:v>Spend, keywords, calls, leads, CPL, conversion rate</x:v>
      </x:c>
      <x:c r="H12" s="26" t="str">
        <x:v>MISSING</x:v>
      </x:c>
      <x:c r="I12" s="26" t="str"/>
    </x:row>
    <x:row r="13" ht="15" hidden="0" customHeight="1">
      <x:c r="A13" s="26" t="str">
        <x:v>RPT-009</x:v>
      </x:c>
      <x:c r="B13" s="26" t="str">
        <x:v>GA4 report</x:v>
      </x:c>
      <x:c r="C13" s="26" t="str">
        <x:v>Website analytics</x:v>
      </x:c>
      <x:c r="D13" s="26" t="str"/>
      <x:c r="E13" s="26" t="str">
        <x:v>MISSING</x:v>
      </x:c>
      <x:c r="F13" s="26" t="str">
        <x:v>ACTUAL REQUIRED</x:v>
      </x:c>
      <x:c r="G13" s="26" t="str">
        <x:v>Sessions, source/medium, landing pages, conversions</x:v>
      </x:c>
      <x:c r="H13" s="26" t="str">
        <x:v>MISSING</x:v>
      </x:c>
      <x:c r="I13" s="26" t="str"/>
    </x:row>
    <x:row r="14" ht="15" hidden="0" customHeight="1">
      <x:c r="A14" s="26" t="str">
        <x:v>RPT-010</x:v>
      </x:c>
      <x:c r="B14" s="26" t="str">
        <x:v>Google Search Console report</x:v>
      </x:c>
      <x:c r="C14" s="26" t="str">
        <x:v>SEO analytics</x:v>
      </x:c>
      <x:c r="D14" s="26" t="str"/>
      <x:c r="E14" s="26" t="str">
        <x:v>MISSING</x:v>
      </x:c>
      <x:c r="F14" s="26" t="str">
        <x:v>ACTUAL REQUIRED</x:v>
      </x:c>
      <x:c r="G14" s="26" t="str">
        <x:v>Queries, clicks, impressions, CTR, positions, index coverage</x:v>
      </x:c>
      <x:c r="H14" s="26" t="str">
        <x:v>MISSING</x:v>
      </x:c>
      <x:c r="I14" s="26" t="str"/>
    </x:row>
    <x:row r="15" ht="15" hidden="0" customHeight="1">
      <x:c r="A15" s="26" t="str">
        <x:v>RPT-011</x:v>
      </x:c>
      <x:c r="B15" s="26" t="str">
        <x:v>Keyword ranking report</x:v>
      </x:c>
      <x:c r="C15" s="26" t="str">
        <x:v>SEO rankings</x:v>
      </x:c>
      <x:c r="D15" s="26" t="str"/>
      <x:c r="E15" s="26" t="str">
        <x:v>MISSING</x:v>
      </x:c>
      <x:c r="F15" s="26" t="str">
        <x:v>ACTUAL REQUIRED</x:v>
      </x:c>
      <x:c r="G15" s="26" t="str">
        <x:v>Local/organic rankings for P0 terms</x:v>
      </x:c>
      <x:c r="H15" s="26" t="str">
        <x:v>MISSING</x:v>
      </x:c>
      <x:c r="I15" s="26" t="str"/>
    </x:row>
    <x:row r="16" ht="15" hidden="0" customHeight="1">
      <x:c r="A16" s="26" t="str">
        <x:v>RPT-012</x:v>
      </x:c>
      <x:c r="B16" s="26" t="str">
        <x:v>Lead and appointment report</x:v>
      </x:c>
      <x:c r="C16" s="26" t="str">
        <x:v>Business outcomes</x:v>
      </x:c>
      <x:c r="D16" s="26" t="str"/>
      <x:c r="E16" s="26" t="str">
        <x:v>MISSING</x:v>
      </x:c>
      <x:c r="F16" s="26" t="str">
        <x:v>ACTUAL REQUIRED</x:v>
      </x:c>
      <x:c r="G16" s="26" t="str">
        <x:v>Leads, calls, WhatsApp, booked consultations, procedures, sources</x:v>
      </x:c>
      <x:c r="H16" s="26" t="str">
        <x:v>MISSING</x:v>
      </x:c>
      <x:c r="I16" s="26" t="str">
        <x:v>Needed to measure 150 monthly patient target.</x:v>
      </x:c>
    </x:row>
    <x:row r="17" ht="15" hidden="0" customHeight="1">
      <x:c r="A17" s="26" t="str">
        <x:v>RPT-013</x:v>
      </x:c>
      <x:c r="B17" s="26" t="str">
        <x:v>CRM report</x:v>
      </x:c>
      <x:c r="C17" s="26" t="str">
        <x:v>CRM/funnel</x:v>
      </x:c>
      <x:c r="D17" s="26" t="str"/>
      <x:c r="E17" s="26" t="str">
        <x:v>MISSING</x:v>
      </x:c>
      <x:c r="F17" s="26" t="str">
        <x:v>ACTUAL REQUIRED</x:v>
      </x:c>
      <x:c r="G17" s="26" t="str">
        <x:v>Lead stages, response times, conversion, lost reasons</x:v>
      </x:c>
      <x:c r="H17" s="26" t="str">
        <x:v>MISSING</x:v>
      </x:c>
      <x:c r="I17" s="26" t="str"/>
    </x:row>
    <x:row r="18" ht="15" hidden="0" customHeight="1">
      <x:c r="A18" s="26" t="str">
        <x:v>RPT-014</x:v>
      </x:c>
      <x:c r="B18" s="26" t="str">
        <x:v>Call report / recordings summary</x:v>
      </x:c>
      <x:c r="C18" s="26" t="str">
        <x:v>Call analytics</x:v>
      </x:c>
      <x:c r="D18" s="26" t="str"/>
      <x:c r="E18" s="26" t="str">
        <x:v>MISSING</x:v>
      </x:c>
      <x:c r="F18" s="26" t="str">
        <x:v>ACTUAL REQUIRED</x:v>
      </x:c>
      <x:c r="G18" s="26" t="str">
        <x:v>Calls, answer rate, qualified calls, bookings, missed calls</x:v>
      </x:c>
      <x:c r="H18" s="26" t="str">
        <x:v>MISSING</x:v>
      </x:c>
      <x:c r="I18" s="26" t="str"/>
    </x:row>
    <x:row r="19" ht="15" hidden="0" customHeight="1">
      <x:c r="A19" s="26" t="str">
        <x:v>RPT-015</x:v>
      </x:c>
      <x:c r="B19" s="26" t="str">
        <x:v>Creative/content performance report</x:v>
      </x:c>
      <x:c r="C19" s="26" t="str">
        <x:v>Content analytics</x:v>
      </x:c>
      <x:c r="D19" s="26" t="str"/>
      <x:c r="E19" s="26" t="str">
        <x:v>MISSING</x:v>
      </x:c>
      <x:c r="F19" s="26" t="str">
        <x:v>ACTUAL REQUIRED</x:v>
      </x:c>
      <x:c r="G19" s="26" t="str">
        <x:v>Best/low performers, hooks, formats, watch-time, saves/shares</x:v>
      </x:c>
      <x:c r="H19" s="26" t="str">
        <x:v>MISSING</x:v>
      </x:c>
      <x:c r="I19" s="26" t="str"/>
    </x:row>
  </x:sheetData>
  <x:mergeCells>
    <x:mergeCell ref="A1:I1"/>
    <x:mergeCell ref="A2:I2"/>
  </x:mergeCells>
  <x:conditionalFormatting sqref="A5:I19">
    <x:cfRule type="expression" dxfId="15" priority="1">
      <x:formula>MOD(ROW(),2)=0</x:formula>
    </x:cfRule>
  </x:conditionalFormatting>
  <x:pageMargins left="0.7" right="0.7" top="0.75" bottom="0.75" header="0.3" footer="0.3"/>
  <x:tableParts count="1">
    <x:tablePart xmlns:r="http://schemas.openxmlformats.org/officeDocument/2006/relationships" r:id="R5daecf2696ce4a45"/>
  </x:tableParts>
</x:worksheet>
</file>

<file path=xl/worksheets/sheet13.xml><?xml version="1.0" encoding="utf-8"?>
<x:worksheet xmlns:x="http://schemas.openxmlformats.org/spreadsheetml/2006/main">
  <x:sheetFormatPr defaultRowHeight="15"/>
  <x:cols>
    <x:col min="1" max="1" width="22" hidden="0" customWidth="1"/>
    <x:col min="2" max="2" width="12" hidden="0" customWidth="1"/>
    <x:col min="3" max="3" width="75" hidden="0" customWidth="1"/>
  </x:cols>
  <x:sheetData>
    <x:row r="1" ht="19.200000762939453" hidden="0" customHeight="1">
      <x:c r="A1" s="5" t="str">
        <x:v>Handover Completion Score</x:v>
      </x:c>
      <x:c r="B1" s="5"/>
      <x:c r="C1" s="5"/>
    </x:row>
    <x:row r="2" ht="15" hidden="0" customHeight="1">
      <x:c r="A2" s="11" t="str">
        <x:v>Jeevisha Client Handover · Updated 2026-07-16 · statuses are evidence-based</x:v>
      </x:c>
      <x:c r="B2" s="11"/>
      <x:c r="C2" s="11"/>
    </x:row>
    <x:row r="3"/>
    <x:row r="4" ht="15" hidden="0" customHeight="1">
      <x:c r="A4" s="18" t="str">
        <x:v>Area</x:v>
      </x:c>
      <x:c r="B4" s="18" t="str">
        <x:v>Score</x:v>
      </x:c>
      <x:c r="C4" s="18" t="str">
        <x:v>Missing</x:v>
      </x:c>
    </x:row>
    <x:row r="5" ht="15" hidden="0" customHeight="1">
      <x:c r="A5" s="26" t="str">
        <x:v>Sources</x:v>
      </x:c>
      <x:c r="B5" s="30" t="n">
        <x:v>88</x:v>
      </x:c>
      <x:c r="C5" s="26" t="str">
        <x:v>File Library originals cannot be copied into the runtime; some prior message history may remain inaccessible.</x:v>
      </x:c>
    </x:row>
    <x:row r="6" ht="15" hidden="0" customHeight="1">
      <x:c r="A6" s="26" t="str">
        <x:v>Design</x:v>
      </x:c>
      <x:c r="B6" s="30" t="n">
        <x:v>78</x:v>
      </x:c>
      <x:c r="C6" s="26" t="str">
        <x:v>Official logo files, final approved visual samples, resolved Clinic/Hospital naming and editable templates.</x:v>
      </x:c>
    </x:row>
    <x:row r="7" ht="15" hidden="0" customHeight="1">
      <x:c r="A7" s="26" t="str">
        <x:v>Assets</x:v>
      </x:c>
      <x:c r="B7" s="30" t="n">
        <x:v>18</x:v>
      </x:c>
      <x:c r="C7" s="26" t="str">
        <x:v>Logo masters, founder/clinic photos, raw/edited video, source files, licences and consent records.</x:v>
      </x:c>
    </x:row>
    <x:row r="8" ht="15" hidden="0" customHeight="1">
      <x:c r="A8" s="26" t="str">
        <x:v>Content</x:v>
      </x:c>
      <x:c r="B8" s="30" t="n">
        <x:v>82</x:v>
      </x:c>
      <x:c r="C8" s="26" t="str">
        <x:v>Approval/published status, full historical captions beyond accessible files, and channel performance data.</x:v>
      </x:c>
    </x:row>
    <x:row r="9" ht="15" hidden="0" customHeight="1">
      <x:c r="A9" s="26" t="str">
        <x:v>Scripts</x:v>
      </x:c>
      <x:c r="B9" s="30" t="n">
        <x:v>20</x:v>
      </x:c>
      <x:c r="C9" s="26" t="str">
        <x:v>No complete production scripts found; only one framework and 24 reusable fragments. Fifteen-script task remains open.</x:v>
      </x:c>
    </x:row>
    <x:row r="10" ht="15" hidden="0" customHeight="1">
      <x:c r="A10" s="26" t="str">
        <x:v>GMB</x:v>
      </x:c>
      <x:c r="B10" s="30" t="n">
        <x:v>70</x:v>
      </x:c>
      <x:c r="C10" s="26" t="str">
        <x:v>Manager access/audit, verification status, complete hours, photo inventory, post history and performance export.</x:v>
      </x:c>
    </x:row>
    <x:row r="11" ht="15" hidden="0" customHeight="1">
      <x:c r="A11" s="26" t="str">
        <x:v>Campaigns</x:v>
      </x:c>
      <x:c r="B11" s="30" t="n">
        <x:v>56</x:v>
      </x:c>
      <x:c r="C11" s="26" t="str">
        <x:v>Budgets, dates, owners, final offers, landing pages, approvals, live links and results.</x:v>
      </x:c>
    </x:row>
    <x:row r="12" ht="15" hidden="0" customHeight="1">
      <x:c r="A12" s="26" t="str">
        <x:v>Client details</x:v>
      </x:c>
      <x:c r="B12" s="30" t="n">
        <x:v>68</x:v>
      </x:c>
      <x:c r="C12" s="26" t="str">
        <x:v>Canonical NAP sign-off, email/social links, service list, prices, hours, certificates and approval workflow.</x:v>
      </x:c>
    </x:row>
    <x:row r="13" ht="15" hidden="0" customHeight="1">
      <x:c r="A13" s="26" t="str">
        <x:v>Reports</x:v>
      </x:c>
      <x:c r="B13" s="30" t="n">
        <x:v>18</x:v>
      </x:c>
      <x:c r="C13" s="26" t="str">
        <x:v>No GA4, GSC, social, ads, CRM, call or appointment exports; public GBP snapshot only.</x:v>
      </x:c>
    </x:row>
    <x:row r="14" ht="15" hidden="0" customHeight="1">
      <x:c r="A14" s="26" t="str">
        <x:v>Approvals</x:v>
      </x:c>
      <x:c r="B14" s="30" t="n">
        <x:v>12</x:v>
      </x:c>
      <x:c r="C14" s="26" t="str">
        <x:v>No formal approval matrix or written final approvals; recent creative feedback is revision evidence only.</x:v>
      </x:c>
    </x:row>
  </x:sheetData>
  <x:mergeCells>
    <x:mergeCell ref="A1:C1"/>
    <x:mergeCell ref="A2:C2"/>
  </x:mergeCells>
  <x:conditionalFormatting sqref="A5:C14">
    <x:cfRule type="expression" dxfId="16" priority="1">
      <x:formula>MOD(ROW(),2)=0</x:formula>
    </x:cfRule>
  </x:conditionalFormatting>
  <x:conditionalFormatting sqref="B5:B14">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e158b5a4617846a5"/>
  </x:tableParts>
</x:worksheet>
</file>